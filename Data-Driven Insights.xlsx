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eneka\camp\"/>
    </mc:Choice>
  </mc:AlternateContent>
  <xr:revisionPtr revIDLastSave="0" documentId="13_ncr:1_{B759D619-580D-40FE-A8F2-514B66D64898}" xr6:coauthVersionLast="47" xr6:coauthVersionMax="47" xr10:uidLastSave="{00000000-0000-0000-0000-000000000000}"/>
  <bookViews>
    <workbookView xWindow="-120" yWindow="-120" windowWidth="20730" windowHeight="11160" firstSheet="3" activeTab="6" xr2:uid="{DE3DA86B-5966-4F59-A28E-0497EC333506}"/>
  </bookViews>
  <sheets>
    <sheet name="User acquisition" sheetId="1" r:id="rId1"/>
    <sheet name="Traffic acquisition" sheetId="2" r:id="rId2"/>
    <sheet name="Metrics" sheetId="3" r:id="rId3"/>
    <sheet name="Events" sheetId="4" r:id="rId4"/>
    <sheet name="Landing Page" sheetId="5" r:id="rId5"/>
    <sheet name="Audience" sheetId="6" r:id="rId6"/>
    <sheet name="Demographic details Country" sheetId="7" r:id="rId7"/>
    <sheet name="Demographic details Age" sheetId="8" r:id="rId8"/>
    <sheet name="Demographic details Interest" sheetId="9" r:id="rId9"/>
    <sheet name="Demographic details Gender" sheetId="10" r:id="rId10"/>
    <sheet name="Retention 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9" i="7" l="1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</calcChain>
</file>

<file path=xl/sharedStrings.xml><?xml version="1.0" encoding="utf-8"?>
<sst xmlns="http://schemas.openxmlformats.org/spreadsheetml/2006/main" count="1034" uniqueCount="950">
  <si>
    <t>Engaged sessions per user</t>
  </si>
  <si>
    <t>Avg engagement time (sec)</t>
  </si>
  <si>
    <t>Cost / spent</t>
  </si>
  <si>
    <t>Impressions</t>
  </si>
  <si>
    <t>Event count</t>
  </si>
  <si>
    <t xml:space="preserve">Key events
</t>
  </si>
  <si>
    <t>Total revenue</t>
  </si>
  <si>
    <t xml:space="preserve">CTR (%) = (Key Events / Impressions) * 100  </t>
  </si>
  <si>
    <t xml:space="preserve">ROI = ((Total Revenue - Cost) / Cost) * 100 </t>
  </si>
  <si>
    <t xml:space="preserve"> CPC = Cost / Key Events</t>
  </si>
  <si>
    <t>User Conversion rate = (key events/engaged sessions)*100</t>
  </si>
  <si>
    <t xml:space="preserve">CPA = (cost/ action)           </t>
  </si>
  <si>
    <t>Sl.No</t>
  </si>
  <si>
    <t>First user primary channel group (Default Channel Group)</t>
  </si>
  <si>
    <t>New users</t>
  </si>
  <si>
    <t>Engaged sessions</t>
  </si>
  <si>
    <t>Engagement rate</t>
  </si>
  <si>
    <t>Direct</t>
  </si>
  <si>
    <t>Organic Search</t>
  </si>
  <si>
    <t>Referral</t>
  </si>
  <si>
    <t>Paid Search</t>
  </si>
  <si>
    <t>Organic Social</t>
  </si>
  <si>
    <t>Organic Shopping</t>
  </si>
  <si>
    <t>Organic Video</t>
  </si>
  <si>
    <t>Cross-network</t>
  </si>
  <si>
    <t>Email</t>
  </si>
  <si>
    <t>Session primary channel group</t>
  </si>
  <si>
    <t>Users</t>
  </si>
  <si>
    <t>Sessions</t>
  </si>
  <si>
    <t>Average engagement time per session(sec)</t>
  </si>
  <si>
    <t>Events per session</t>
  </si>
  <si>
    <t>Key events</t>
  </si>
  <si>
    <t>Traffic Conversion rate = (key events/engaged sessions)*100</t>
  </si>
  <si>
    <t xml:space="preserve">CPA = cost/ action    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</si>
  <si>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</si>
  <si>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</si>
  <si>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</si>
  <si>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</si>
  <si>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</si>
  <si>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</si>
  <si>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</si>
  <si>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</si>
  <si>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</si>
  <si>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</si>
  <si>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</si>
  <si>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</si>
  <si>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</si>
  <si>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</si>
  <si>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</si>
  <si>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</si>
  <si>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</si>
  <si>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</si>
  <si>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</si>
  <si>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</si>
  <si>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</si>
  <si>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</si>
  <si>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</si>
  <si>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</si>
  <si>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</si>
  <si>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</si>
  <si>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</si>
  <si>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</si>
  <si>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</si>
  <si>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</si>
  <si>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Average engagement time per session(in sec)</t>
  </si>
  <si>
    <t>/</t>
  </si>
  <si>
    <t>(not set)</t>
  </si>
  <si>
    <t>/product/chrome-dino-googler-accessory-pack-ggoegfda213799</t>
  </si>
  <si>
    <t>/canada</t>
  </si>
  <si>
    <t>/product/google-ripl-forest-green-bottle-ggoegdhh220199</t>
  </si>
  <si>
    <t>/shop/apparel</t>
  </si>
  <si>
    <t>/shop/lifestyle/eco-friendly</t>
  </si>
  <si>
    <t>/shop/apparel/mens</t>
  </si>
  <si>
    <t>/shop/lifestyle/bags</t>
  </si>
  <si>
    <t>/shop/shop-by-brand/youtube</t>
  </si>
  <si>
    <t>/product/chrome-dino-collectible-figurines-ggoegabj125299</t>
  </si>
  <si>
    <t>/shop/lifestyle/drinkware</t>
  </si>
  <si>
    <t>/canada/fr</t>
  </si>
  <si>
    <t>/checkout</t>
  </si>
  <si>
    <t>/account</t>
  </si>
  <si>
    <t>/shop/new</t>
  </si>
  <si>
    <t>/product/google-mini-kick-ball-ggoegfsr022099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</si>
  <si>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</si>
  <si>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</si>
  <si>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</si>
  <si>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</si>
  <si>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</si>
  <si>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</si>
  <si>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</si>
  <si>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</si>
  <si>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</si>
  <si>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</si>
  <si>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</si>
  <si>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</si>
  <si>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</si>
  <si>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</si>
  <si>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</si>
  <si>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</si>
  <si>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/search</t>
  </si>
  <si>
    <t>/shop/womens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</si>
  <si>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</si>
  <si>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</si>
  <si>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</si>
  <si>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</si>
  <si>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</si>
  <si>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</si>
  <si>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</si>
  <si>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</si>
  <si>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</si>
  <si>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</si>
  <si>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</si>
  <si>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</si>
  <si>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</si>
  <si>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</si>
  <si>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</si>
  <si>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</si>
  <si>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</si>
  <si>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</si>
  <si>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</si>
  <si>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</si>
  <si>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</si>
  <si>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</si>
  <si>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</si>
  <si>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</si>
  <si>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</si>
  <si>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</si>
  <si>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</si>
  <si>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</si>
  <si>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</si>
  <si>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</si>
  <si>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</si>
  <si>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</si>
  <si>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</si>
  <si>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</si>
  <si>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</si>
  <si>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</si>
  <si>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</si>
  <si>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</si>
  <si>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</si>
  <si>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</si>
  <si>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</si>
  <si>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</si>
  <si>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</si>
  <si>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</si>
  <si>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</si>
  <si>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</si>
  <si>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</si>
  <si>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</si>
  <si>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</si>
  <si>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</si>
  <si>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</si>
  <si>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</si>
  <si>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</si>
  <si>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</si>
  <si>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</si>
  <si>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</si>
  <si>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</si>
  <si>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</si>
  <si>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</si>
  <si>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</si>
  <si>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</si>
  <si>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</si>
  <si>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</si>
  <si>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</si>
  <si>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</si>
  <si>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</si>
  <si>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</si>
  <si>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</si>
  <si>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</si>
  <si>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</si>
  <si>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</si>
  <si>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</si>
  <si>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</si>
  <si>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</si>
  <si>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</si>
  <si>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</si>
  <si>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</si>
  <si>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</si>
  <si>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</si>
  <si>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</si>
  <si>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</si>
  <si>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</si>
  <si>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</si>
  <si>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</si>
  <si>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</si>
  <si>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/product/google-bike-socks-ggoegakc171799</t>
  </si>
  <si>
    <t>/product/google-classic-black-lanyard-ggoegcbb208599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</si>
  <si>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</si>
  <si>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</si>
  <si>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</si>
  <si>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</si>
  <si>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</si>
  <si>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</si>
  <si>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</si>
  <si>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</si>
  <si>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</si>
  <si>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</si>
  <si>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</si>
  <si>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</si>
  <si>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</si>
  <si>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</si>
  <si>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</si>
  <si>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</si>
  <si>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</si>
  <si>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</si>
  <si>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</si>
  <si>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</si>
  <si>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</si>
  <si>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</si>
  <si>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</si>
  <si>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</si>
  <si>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</si>
  <si>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</si>
  <si>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</si>
  <si>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</si>
  <si>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</si>
  <si>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</si>
  <si>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</si>
  <si>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</si>
  <si>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</si>
  <si>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</si>
  <si>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</si>
  <si>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</si>
  <si>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</si>
  <si>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</si>
  <si>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</si>
  <si>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</si>
  <si>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</si>
  <si>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</si>
  <si>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</si>
  <si>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</si>
  <si>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</si>
  <si>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</si>
  <si>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</si>
  <si>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</si>
  <si>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</si>
  <si>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</si>
  <si>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</si>
  <si>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</si>
  <si>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</si>
  <si>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</si>
  <si>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</si>
  <si>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</si>
  <si>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/gpsmap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</si>
  <si>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</si>
  <si>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</si>
  <si>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</si>
  <si>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</si>
  <si>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</si>
  <si>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</si>
  <si>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</si>
  <si>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</si>
  <si>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</si>
  <si>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</si>
  <si>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</si>
  <si>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</si>
  <si>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</si>
  <si>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</si>
  <si>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</si>
  <si>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</si>
  <si>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</si>
  <si>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</si>
  <si>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</si>
  <si>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</si>
  <si>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</si>
  <si>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</si>
  <si>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</si>
  <si>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</si>
  <si>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</si>
  <si>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</si>
  <si>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</si>
  <si>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</si>
  <si>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</si>
  <si>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</si>
  <si>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</si>
  <si>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</si>
  <si>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</si>
  <si>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</si>
  <si>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</si>
  <si>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</si>
  <si>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</si>
  <si>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</si>
  <si>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</si>
  <si>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</si>
  <si>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</si>
  <si>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</si>
  <si>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</si>
  <si>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</si>
  <si>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</si>
  <si>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</si>
  <si>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</si>
  <si>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</si>
  <si>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</si>
  <si>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</si>
  <si>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</si>
  <si>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</si>
  <si>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</si>
  <si>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</si>
  <si>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</si>
  <si>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</si>
  <si>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</si>
  <si>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</si>
  <si>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</si>
  <si>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</si>
  <si>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</si>
  <si>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</si>
  <si>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</si>
  <si>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</si>
  <si>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</si>
  <si>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</si>
  <si>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</si>
  <si>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</si>
  <si>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</si>
  <si>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</si>
  <si>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</si>
  <si>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</si>
  <si>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</si>
  <si>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</si>
  <si>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</si>
  <si>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</si>
  <si>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</si>
  <si>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</si>
  <si>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</si>
  <si>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</si>
  <si>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</si>
  <si>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</si>
  <si>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</si>
  <si>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</si>
  <si>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</si>
  <si>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</si>
  <si>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</si>
  <si>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</si>
  <si>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</si>
  <si>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</si>
  <si>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</si>
  <si>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</si>
  <si>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</si>
  <si>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</si>
  <si>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</si>
  <si>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</si>
  <si>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</si>
  <si>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</si>
  <si>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</si>
  <si>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</si>
  <si>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</si>
  <si>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</si>
  <si>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</si>
  <si>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</si>
  <si>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</si>
  <si>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</si>
  <si>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</si>
  <si>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</si>
  <si>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</si>
  <si>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</si>
  <si>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</si>
  <si>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</si>
  <si>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</si>
  <si>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</si>
  <si>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</si>
  <si>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</si>
  <si>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</si>
  <si>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</si>
  <si>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</si>
  <si>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</si>
  <si>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</si>
  <si>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</si>
  <si>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</si>
  <si>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</si>
  <si>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</si>
  <si>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</si>
  <si>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</si>
  <si>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</si>
  <si>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</si>
  <si>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</si>
  <si>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</si>
  <si>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</si>
  <si>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</si>
  <si>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</si>
  <si>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</si>
  <si>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</si>
  <si>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</si>
  <si>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</si>
  <si>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</si>
  <si>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</si>
  <si>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</si>
  <si>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</si>
  <si>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</si>
  <si>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</si>
  <si>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</si>
  <si>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</si>
  <si>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</si>
  <si>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</si>
  <si>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</si>
  <si>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</si>
  <si>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</si>
  <si>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</si>
  <si>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</si>
  <si>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</si>
  <si>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</si>
  <si>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</si>
  <si>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</si>
  <si>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</si>
  <si>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</si>
  <si>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</si>
  <si>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</si>
  <si>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</si>
  <si>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</si>
  <si>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</si>
  <si>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</si>
  <si>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</si>
  <si>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</si>
  <si>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</si>
  <si>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</si>
  <si>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</si>
  <si>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</si>
  <si>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</si>
  <si>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</si>
  <si>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</si>
  <si>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</si>
  <si>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</si>
  <si>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</si>
  <si>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</si>
  <si>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/product/google-heather-russet-jersey-tee-ggoegxxx2042</t>
  </si>
  <si>
    <t>/product/google-heathered-ash-tee-ggoegxxx2132</t>
  </si>
  <si>
    <t>/product/google-marine-layer-tee-ggoegxxx1653</t>
  </si>
  <si>
    <t>/product/google-new-york-city-socks-ggoegaea195810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</si>
  <si>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</si>
  <si>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</si>
  <si>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</si>
  <si>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</si>
  <si>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</si>
  <si>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</si>
  <si>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</si>
  <si>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</si>
  <si>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</si>
  <si>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</si>
  <si>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</si>
  <si>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</si>
  <si>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</si>
  <si>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</si>
  <si>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</si>
  <si>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</si>
  <si>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</si>
  <si>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</si>
  <si>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</si>
  <si>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</si>
  <si>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</si>
  <si>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</si>
  <si>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</si>
  <si>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</si>
  <si>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</si>
  <si>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</si>
  <si>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</si>
  <si>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</si>
  <si>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</si>
  <si>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</si>
  <si>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</si>
  <si>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</si>
  <si>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</si>
  <si>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</si>
  <si>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</si>
  <si>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</si>
  <si>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</si>
  <si>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</si>
  <si>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</si>
  <si>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</si>
  <si>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</si>
  <si>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</si>
  <si>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</si>
  <si>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</si>
  <si>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</si>
  <si>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</si>
  <si>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</si>
  <si>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</si>
  <si>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</si>
  <si>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</si>
  <si>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</si>
  <si>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</si>
  <si>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</si>
  <si>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</si>
  <si>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</si>
  <si>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</si>
  <si>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</si>
  <si>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</si>
  <si>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</si>
  <si>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</si>
  <si>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</si>
  <si>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</si>
  <si>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</si>
  <si>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</si>
  <si>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</si>
  <si>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</si>
  <si>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</si>
  <si>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</si>
  <si>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</si>
  <si>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</si>
  <si>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</si>
  <si>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</si>
  <si>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</si>
  <si>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</si>
  <si>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</si>
  <si>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</si>
  <si>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</si>
  <si>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</si>
  <si>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</si>
  <si>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</si>
  <si>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</si>
  <si>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</si>
  <si>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</si>
  <si>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</si>
  <si>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</si>
  <si>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</si>
  <si>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</si>
  <si>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</si>
  <si>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</si>
  <si>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</si>
  <si>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</si>
  <si>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</si>
  <si>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</si>
  <si>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</si>
  <si>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</si>
  <si>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</si>
  <si>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</si>
  <si>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</si>
  <si>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</si>
  <si>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</si>
  <si>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</si>
  <si>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</si>
  <si>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</si>
  <si>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</si>
  <si>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</si>
  <si>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</si>
  <si>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</si>
  <si>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</si>
  <si>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</si>
  <si>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</si>
  <si>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</si>
  <si>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</si>
  <si>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</si>
  <si>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</si>
  <si>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</si>
  <si>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</si>
  <si>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</si>
  <si>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</si>
  <si>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</si>
  <si>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</si>
  <si>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</si>
  <si>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</si>
  <si>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</si>
  <si>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</si>
  <si>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</si>
  <si>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</si>
  <si>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</si>
  <si>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</si>
  <si>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</si>
  <si>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</si>
  <si>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</si>
  <si>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</si>
  <si>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</si>
  <si>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</si>
  <si>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</si>
  <si>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</si>
  <si>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</si>
  <si>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</si>
  <si>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</si>
  <si>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</si>
  <si>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</si>
  <si>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</si>
  <si>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</si>
  <si>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</si>
  <si>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</si>
  <si>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</si>
  <si>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</si>
  <si>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</si>
  <si>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</si>
  <si>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</si>
  <si>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</si>
  <si>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</si>
  <si>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</si>
  <si>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</si>
  <si>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</si>
  <si>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</si>
  <si>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</si>
  <si>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</si>
  <si>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</si>
  <si>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</si>
  <si>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</si>
  <si>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</si>
  <si>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</si>
  <si>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</si>
  <si>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</si>
  <si>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</si>
  <si>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</si>
  <si>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</si>
  <si>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</si>
  <si>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</si>
  <si>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</si>
  <si>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</si>
  <si>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</si>
  <si>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</si>
  <si>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</si>
  <si>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</si>
  <si>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</si>
  <si>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</si>
  <si>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</si>
  <si>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</si>
  <si>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</si>
  <si>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</si>
  <si>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</si>
  <si>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</si>
  <si>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</si>
  <si>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</si>
  <si>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</si>
  <si>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</si>
  <si>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</si>
  <si>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</si>
  <si>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</si>
  <si>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</si>
  <si>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</si>
  <si>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/shop/appeal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</si>
  <si>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</si>
  <si>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</si>
  <si>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</si>
  <si>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</si>
  <si>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</si>
  <si>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</si>
  <si>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</si>
  <si>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</si>
  <si>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</si>
  <si>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</si>
  <si>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</si>
  <si>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</si>
  <si>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</si>
  <si>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duration(in sec)</t>
  </si>
  <si>
    <t>All Users</t>
  </si>
  <si>
    <t>Non-purchasers</t>
  </si>
  <si>
    <t>Recently active users</t>
  </si>
  <si>
    <t>Likely 7-day purchasers</t>
  </si>
  <si>
    <t>Engaged Users</t>
  </si>
  <si>
    <t>Predicted 28-day top spenders</t>
  </si>
  <si>
    <t>Top spenders: Top 5% of users</t>
  </si>
  <si>
    <t>Users in San Francisco</t>
  </si>
  <si>
    <t>Added to cart &amp; no purchase</t>
  </si>
  <si>
    <t>Purchasers</t>
  </si>
  <si>
    <t>Average engagement time(in sec)</t>
  </si>
  <si>
    <t>Conversion rate = (key events/engaged sessions)*100</t>
  </si>
  <si>
    <t>Sri Lanka</t>
  </si>
  <si>
    <t>Venezuela</t>
  </si>
  <si>
    <t>Kazakhstan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</si>
  <si>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</si>
  <si>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</si>
  <si>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</si>
  <si>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</si>
  <si>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</si>
  <si>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</si>
  <si>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</si>
  <si>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</si>
  <si>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</si>
  <si>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</si>
  <si>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</si>
  <si>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</si>
  <si>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</si>
  <si>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</si>
  <si>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</si>
  <si>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</si>
  <si>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</si>
  <si>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</si>
  <si>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</si>
  <si>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</si>
  <si>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</si>
  <si>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</si>
  <si>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</si>
  <si>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</si>
  <si>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</si>
  <si>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</si>
  <si>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</si>
  <si>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</si>
  <si>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</si>
  <si>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</si>
  <si>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</si>
  <si>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</si>
  <si>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</si>
  <si>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</si>
  <si>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</si>
  <si>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</si>
  <si>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</si>
  <si>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</si>
  <si>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</si>
  <si>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</si>
  <si>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</si>
  <si>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</si>
  <si>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</si>
  <si>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</si>
  <si>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</si>
  <si>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</si>
  <si>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</si>
  <si>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</si>
  <si>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</si>
  <si>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</si>
  <si>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</si>
  <si>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</si>
  <si>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</si>
  <si>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</si>
  <si>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</si>
  <si>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</si>
  <si>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</si>
  <si>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</si>
  <si>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</si>
  <si>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</si>
  <si>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</si>
  <si>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</si>
  <si>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</si>
  <si>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</si>
  <si>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</si>
  <si>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</si>
  <si>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</si>
  <si>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</si>
  <si>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</si>
  <si>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</si>
  <si>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</si>
  <si>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</si>
  <si>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</si>
  <si>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</si>
  <si>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</si>
  <si>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</si>
  <si>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</si>
  <si>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</si>
  <si>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</si>
  <si>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</si>
  <si>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</si>
  <si>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</si>
  <si>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</si>
  <si>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</si>
  <si>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</si>
  <si>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</si>
  <si>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</si>
  <si>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</si>
  <si>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</si>
  <si>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</si>
  <si>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</si>
  <si>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</si>
  <si>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</si>
  <si>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</si>
  <si>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</si>
  <si>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</si>
  <si>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</si>
  <si>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</si>
  <si>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</si>
  <si>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</si>
  <si>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</si>
  <si>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</si>
  <si>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</si>
  <si>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</si>
  <si>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</si>
  <si>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</si>
  <si>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</si>
  <si>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</si>
  <si>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</si>
  <si>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</si>
  <si>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</si>
  <si>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</si>
  <si>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</si>
  <si>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</si>
  <si>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</si>
  <si>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</si>
  <si>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</si>
  <si>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</si>
  <si>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</si>
  <si>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</si>
  <si>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</si>
  <si>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</si>
  <si>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</si>
  <si>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</si>
  <si>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</si>
  <si>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</si>
  <si>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</si>
  <si>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</si>
  <si>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</si>
  <si>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</si>
  <si>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</si>
  <si>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</si>
  <si>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</si>
  <si>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</si>
  <si>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</si>
  <si>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</si>
  <si>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</si>
  <si>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</si>
  <si>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</si>
  <si>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</si>
  <si>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</si>
  <si>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</si>
  <si>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</si>
  <si>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</si>
  <si>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</si>
  <si>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</si>
  <si>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</si>
  <si>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</si>
  <si>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</si>
  <si>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</si>
  <si>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</si>
  <si>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</si>
  <si>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</si>
  <si>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</si>
  <si>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</si>
  <si>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</si>
  <si>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</si>
  <si>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</si>
  <si>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</si>
  <si>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</si>
  <si>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</si>
  <si>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</si>
  <si>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</si>
  <si>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</si>
  <si>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</si>
  <si>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</si>
  <si>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</si>
  <si>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</si>
  <si>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</si>
  <si>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</si>
  <si>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</si>
  <si>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</si>
  <si>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</si>
  <si>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</si>
  <si>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</si>
  <si>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</si>
  <si>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</si>
  <si>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</si>
  <si>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</si>
  <si>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</si>
  <si>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</si>
  <si>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</si>
  <si>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</si>
  <si>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</si>
  <si>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</si>
  <si>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</si>
  <si>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</si>
  <si>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</si>
  <si>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</si>
  <si>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</si>
  <si>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</si>
  <si>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</si>
  <si>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</si>
  <si>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</si>
  <si>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</si>
  <si>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Guatemala</t>
  </si>
  <si>
    <t>Netherlands</t>
  </si>
  <si>
    <t>Cambodia</t>
  </si>
  <si>
    <t>Qatar</t>
  </si>
  <si>
    <t>Puerto Rico</t>
  </si>
  <si>
    <t>Nepal</t>
  </si>
  <si>
    <t>Poland</t>
  </si>
  <si>
    <t>Lebanon</t>
  </si>
  <si>
    <t>Mongolia</t>
  </si>
  <si>
    <t>Bolivia</t>
  </si>
  <si>
    <t>Panama</t>
  </si>
  <si>
    <t>Armenia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</si>
  <si>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</si>
  <si>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</si>
  <si>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</si>
  <si>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</si>
  <si>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</si>
  <si>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</si>
  <si>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</si>
  <si>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</si>
  <si>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</si>
  <si>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</si>
  <si>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</si>
  <si>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</si>
  <si>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</si>
  <si>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</si>
  <si>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</si>
  <si>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</si>
  <si>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</si>
  <si>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</si>
  <si>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</si>
  <si>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Moldova</t>
  </si>
  <si>
    <t>Paraguay</t>
  </si>
  <si>
    <t>Angola</t>
  </si>
  <si>
    <t>Bahrain</t>
  </si>
  <si>
    <t>Bhutan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</si>
  <si>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</si>
  <si>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</si>
  <si>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</si>
  <si>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</si>
  <si>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</si>
  <si>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</si>
  <si>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</si>
  <si>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</si>
  <si>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</si>
  <si>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</si>
  <si>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</si>
  <si>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</si>
  <si>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</si>
  <si>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</si>
  <si>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</si>
  <si>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</si>
  <si>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</si>
  <si>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</si>
  <si>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</si>
  <si>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</si>
  <si>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</si>
  <si>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</si>
  <si>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</si>
  <si>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</si>
  <si>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</si>
  <si>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</si>
  <si>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</si>
  <si>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</si>
  <si>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</si>
  <si>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</si>
  <si>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</si>
  <si>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</si>
  <si>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</si>
  <si>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</si>
  <si>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</si>
  <si>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</si>
  <si>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</si>
  <si>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</si>
  <si>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</si>
  <si>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</si>
  <si>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</si>
  <si>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</si>
  <si>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</si>
  <si>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</si>
  <si>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</si>
  <si>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</si>
  <si>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</si>
  <si>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</si>
  <si>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</si>
  <si>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</si>
  <si>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</si>
  <si>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</si>
  <si>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</si>
  <si>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</si>
  <si>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Libya</t>
  </si>
  <si>
    <t>Maldives</t>
  </si>
  <si>
    <t>Mozambique</t>
  </si>
  <si>
    <t>Sierra Leone</t>
  </si>
  <si>
    <t>Slovakia</t>
  </si>
  <si>
    <t>Slovenia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</si>
  <si>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</si>
  <si>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</si>
  <si>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</si>
  <si>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</si>
  <si>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</si>
  <si>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</si>
  <si>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</si>
  <si>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</si>
  <si>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Returnng users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</si>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</sst>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02124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5" fontId="0" fillId="0" borderId="1" xfId="0" applyNumberFormat="1" applyBorder="1"/>
    <xf numFmtId="9" fontId="6" fillId="0" borderId="1" xfId="1" applyFont="1" applyBorder="1"/>
    <xf numFmtId="164" fontId="0" fillId="0" borderId="1" xfId="0" applyNumberFormat="1" applyBorder="1"/>
    <xf numFmtId="9" fontId="0" fillId="0" borderId="1" xfId="1" applyFont="1" applyBorder="1" applyAlignment="1">
      <alignment wrapText="1"/>
    </xf>
    <xf numFmtId="9" fontId="0" fillId="0" borderId="1" xfId="1" applyFont="1" applyBorder="1"/>
    <xf numFmtId="165" fontId="0" fillId="2" borderId="1" xfId="0" applyNumberFormat="1" applyFill="1" applyBorder="1"/>
    <xf numFmtId="2" fontId="0" fillId="0" borderId="1" xfId="0" applyNumberFormat="1" applyBorder="1"/>
    <xf numFmtId="0" fontId="5" fillId="0" borderId="1" xfId="0" applyFont="1" applyBorder="1"/>
    <xf numFmtId="10" fontId="5" fillId="0" borderId="1" xfId="0" applyNumberFormat="1" applyFont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0" fontId="7" fillId="0" borderId="1" xfId="0" applyFont="1" applyBorder="1"/>
    <xf numFmtId="3" fontId="7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0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/>
    <xf numFmtId="0" fontId="8" fillId="3" borderId="1" xfId="0" applyFont="1" applyFill="1" applyBorder="1" applyAlignment="1">
      <alignment horizontal="left" wrapText="1" indent="1"/>
    </xf>
    <xf numFmtId="3" fontId="8" fillId="3" borderId="1" xfId="0" applyNumberFormat="1" applyFont="1" applyFill="1" applyBorder="1" applyAlignment="1">
      <alignment horizontal="left" indent="1"/>
    </xf>
    <xf numFmtId="2" fontId="8" fillId="3" borderId="1" xfId="0" applyNumberFormat="1" applyFont="1" applyFill="1" applyBorder="1" applyAlignment="1">
      <alignment horizontal="left" indent="1"/>
    </xf>
    <xf numFmtId="4" fontId="8" fillId="3" borderId="1" xfId="0" applyNumberFormat="1" applyFont="1" applyFill="1" applyBorder="1" applyAlignment="1">
      <alignment horizontal="left" indent="1"/>
    </xf>
    <xf numFmtId="0" fontId="8" fillId="0" borderId="1" xfId="0" applyFont="1" applyBorder="1" applyAlignment="1">
      <alignment horizontal="left" wrapText="1" indent="1"/>
    </xf>
    <xf numFmtId="3" fontId="8" fillId="0" borderId="1" xfId="0" applyNumberFormat="1" applyFont="1" applyBorder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8" fillId="3" borderId="1" xfId="0" applyFont="1" applyFill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3" fontId="7" fillId="0" borderId="1" xfId="0" applyNumberFormat="1" applyFont="1" applyBorder="1"/>
    <xf numFmtId="10" fontId="7" fillId="0" borderId="1" xfId="0" applyNumberFormat="1" applyFont="1" applyBorder="1"/>
    <xf numFmtId="2" fontId="7" fillId="0" borderId="1" xfId="0" applyNumberFormat="1" applyFont="1" applyBorder="1"/>
    <xf numFmtId="4" fontId="7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10" fontId="10" fillId="0" borderId="1" xfId="0" applyNumberFormat="1" applyFont="1" applyBorder="1"/>
    <xf numFmtId="4" fontId="10" fillId="0" borderId="1" xfId="0" applyNumberFormat="1" applyFont="1" applyBorder="1"/>
    <xf numFmtId="164" fontId="10" fillId="0" borderId="1" xfId="0" applyNumberFormat="1" applyFont="1" applyBorder="1"/>
    <xf numFmtId="9" fontId="10" fillId="0" borderId="1" xfId="0" applyNumberFormat="1" applyFont="1" applyBorder="1"/>
    <xf numFmtId="10" fontId="0" fillId="0" borderId="3" xfId="0" applyNumberFormat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10" fontId="4" fillId="0" borderId="6" xfId="0" applyNumberFormat="1" applyFont="1" applyBorder="1" applyAlignment="1">
      <alignment horizontal="center" vertical="center" wrapText="1"/>
    </xf>
    <xf numFmtId="0" fontId="7" fillId="0" borderId="8" xfId="0" applyFont="1" applyBorder="1"/>
    <xf numFmtId="3" fontId="7" fillId="0" borderId="8" xfId="0" applyNumberFormat="1" applyFont="1" applyBorder="1"/>
    <xf numFmtId="10" fontId="7" fillId="0" borderId="8" xfId="0" applyNumberFormat="1" applyFont="1" applyBorder="1"/>
    <xf numFmtId="4" fontId="7" fillId="0" borderId="8" xfId="0" applyNumberFormat="1" applyFont="1" applyBorder="1"/>
    <xf numFmtId="164" fontId="7" fillId="0" borderId="8" xfId="0" applyNumberFormat="1" applyFont="1" applyBorder="1"/>
    <xf numFmtId="10" fontId="0" fillId="0" borderId="9" xfId="0" applyNumberFormat="1" applyBorder="1"/>
    <xf numFmtId="0" fontId="4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3" fontId="0" fillId="0" borderId="8" xfId="0" applyNumberFormat="1" applyBorder="1" applyAlignment="1">
      <alignment wrapText="1"/>
    </xf>
    <xf numFmtId="3" fontId="0" fillId="0" borderId="9" xfId="0" applyNumberFormat="1" applyBorder="1" applyAlignment="1">
      <alignment wrapText="1"/>
    </xf>
    <xf numFmtId="2" fontId="0" fillId="0" borderId="3" xfId="0" applyNumberFormat="1" applyBorder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9" fontId="2" fillId="0" borderId="5" xfId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8" xfId="0" applyFont="1" applyBorder="1" applyAlignment="1">
      <alignment horizontal="left"/>
    </xf>
    <xf numFmtId="9" fontId="5" fillId="0" borderId="8" xfId="0" applyNumberFormat="1" applyFont="1" applyBorder="1" applyAlignment="1">
      <alignment horizontal="left"/>
    </xf>
    <xf numFmtId="2" fontId="5" fillId="0" borderId="8" xfId="0" applyNumberFormat="1" applyFont="1" applyBorder="1"/>
    <xf numFmtId="2" fontId="5" fillId="0" borderId="8" xfId="0" applyNumberFormat="1" applyFont="1" applyBorder="1" applyAlignment="1">
      <alignment horizontal="left"/>
    </xf>
    <xf numFmtId="164" fontId="5" fillId="0" borderId="8" xfId="0" applyNumberFormat="1" applyFont="1" applyBorder="1" applyAlignment="1">
      <alignment horizontal="left"/>
    </xf>
    <xf numFmtId="165" fontId="0" fillId="0" borderId="8" xfId="0" applyNumberFormat="1" applyBorder="1"/>
    <xf numFmtId="9" fontId="6" fillId="0" borderId="8" xfId="1" applyFont="1" applyBorder="1"/>
    <xf numFmtId="164" fontId="0" fillId="0" borderId="8" xfId="0" applyNumberFormat="1" applyBorder="1"/>
    <xf numFmtId="9" fontId="0" fillId="0" borderId="8" xfId="1" applyFont="1" applyBorder="1"/>
    <xf numFmtId="2" fontId="0" fillId="0" borderId="9" xfId="0" applyNumberFormat="1" applyBorder="1"/>
    <xf numFmtId="9" fontId="0" fillId="0" borderId="3" xfId="1" applyFont="1" applyBorder="1"/>
    <xf numFmtId="2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2" fontId="7" fillId="0" borderId="8" xfId="0" applyNumberFormat="1" applyFont="1" applyBorder="1" applyAlignment="1">
      <alignment horizontal="left"/>
    </xf>
    <xf numFmtId="9" fontId="7" fillId="0" borderId="8" xfId="0" applyNumberFormat="1" applyFont="1" applyBorder="1" applyAlignment="1">
      <alignment horizontal="left"/>
    </xf>
    <xf numFmtId="164" fontId="7" fillId="0" borderId="8" xfId="0" applyNumberFormat="1" applyFont="1" applyBorder="1" applyAlignment="1">
      <alignment horizontal="left"/>
    </xf>
    <xf numFmtId="9" fontId="0" fillId="0" borderId="9" xfId="1" applyFont="1" applyBorder="1"/>
    <xf numFmtId="164" fontId="4" fillId="0" borderId="5" xfId="0" applyNumberFormat="1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 wrapText="1"/>
    </xf>
    <xf numFmtId="2" fontId="0" fillId="0" borderId="8" xfId="0" applyNumberFormat="1" applyBorder="1"/>
    <xf numFmtId="164" fontId="7" fillId="0" borderId="3" xfId="0" applyNumberFormat="1" applyFont="1" applyBorder="1" applyAlignment="1">
      <alignment horizontal="left"/>
    </xf>
    <xf numFmtId="0" fontId="4" fillId="0" borderId="5" xfId="0" applyFont="1" applyBorder="1"/>
    <xf numFmtId="164" fontId="4" fillId="0" borderId="6" xfId="0" applyNumberFormat="1" applyFont="1" applyBorder="1"/>
    <xf numFmtId="164" fontId="7" fillId="0" borderId="9" xfId="0" applyNumberFormat="1" applyFont="1" applyBorder="1" applyAlignment="1">
      <alignment horizontal="left"/>
    </xf>
    <xf numFmtId="164" fontId="8" fillId="4" borderId="3" xfId="0" applyNumberFormat="1" applyFont="1" applyFill="1" applyBorder="1" applyAlignment="1">
      <alignment horizontal="left" indent="1"/>
    </xf>
    <xf numFmtId="164" fontId="8" fillId="5" borderId="3" xfId="0" applyNumberFormat="1" applyFont="1" applyFill="1" applyBorder="1" applyAlignment="1">
      <alignment horizontal="left" indent="1"/>
    </xf>
    <xf numFmtId="164" fontId="8" fillId="3" borderId="3" xfId="0" applyNumberFormat="1" applyFont="1" applyFill="1" applyBorder="1" applyAlignment="1">
      <alignment horizontal="left" indent="1"/>
    </xf>
    <xf numFmtId="164" fontId="8" fillId="0" borderId="3" xfId="0" applyNumberFormat="1" applyFont="1" applyBorder="1" applyAlignment="1">
      <alignment horizontal="left" indent="1"/>
    </xf>
    <xf numFmtId="164" fontId="7" fillId="0" borderId="3" xfId="0" applyNumberFormat="1" applyFont="1" applyBorder="1" applyAlignment="1">
      <alignment horizontal="left" indent="1"/>
    </xf>
    <xf numFmtId="0" fontId="8" fillId="3" borderId="1" xfId="0" applyFont="1" applyFill="1" applyBorder="1" applyAlignment="1">
      <alignment horizontal="left" vertical="center" wrapText="1" indent="1"/>
    </xf>
    <xf numFmtId="0" fontId="4" fillId="0" borderId="5" xfId="0" applyFont="1" applyBorder="1" applyAlignment="1">
      <alignment horizontal="left"/>
    </xf>
    <xf numFmtId="0" fontId="7" fillId="0" borderId="2" xfId="0" applyFont="1" applyBorder="1"/>
    <xf numFmtId="0" fontId="4" fillId="0" borderId="5" xfId="0" applyFont="1" applyBorder="1" applyAlignment="1">
      <alignment horizontal="center" vertical="center"/>
    </xf>
    <xf numFmtId="0" fontId="7" fillId="0" borderId="7" xfId="0" applyFont="1" applyBorder="1"/>
    <xf numFmtId="10" fontId="7" fillId="0" borderId="8" xfId="0" applyNumberFormat="1" applyFont="1" applyBorder="1" applyAlignment="1">
      <alignment horizontal="left"/>
    </xf>
    <xf numFmtId="2" fontId="4" fillId="0" borderId="5" xfId="0" applyNumberFormat="1" applyFont="1" applyBorder="1" applyAlignment="1">
      <alignment horizontal="center" wrapText="1"/>
    </xf>
    <xf numFmtId="2" fontId="7" fillId="0" borderId="8" xfId="0" applyNumberFormat="1" applyFont="1" applyBorder="1"/>
    <xf numFmtId="10" fontId="10" fillId="0" borderId="3" xfId="0" applyNumberFormat="1" applyFont="1" applyBorder="1"/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0" fontId="9" fillId="0" borderId="6" xfId="0" applyNumberFormat="1" applyFont="1" applyBorder="1" applyAlignment="1">
      <alignment horizontal="center" vertical="center" wrapText="1"/>
    </xf>
    <xf numFmtId="0" fontId="10" fillId="0" borderId="8" xfId="0" applyFont="1" applyBorder="1"/>
    <xf numFmtId="10" fontId="10" fillId="0" borderId="8" xfId="0" applyNumberFormat="1" applyFont="1" applyBorder="1"/>
    <xf numFmtId="164" fontId="10" fillId="0" borderId="8" xfId="0" applyNumberFormat="1" applyFont="1" applyBorder="1"/>
    <xf numFmtId="10" fontId="10" fillId="0" borderId="9" xfId="0" applyNumberFormat="1" applyFont="1" applyBorder="1"/>
    <xf numFmtId="165" fontId="4" fillId="0" borderId="5" xfId="0" applyNumberFormat="1" applyFont="1" applyBorder="1" applyAlignment="1">
      <alignment horizontal="center" vertical="top" wrapText="1"/>
    </xf>
    <xf numFmtId="164" fontId="2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10" fontId="5" fillId="6" borderId="1" xfId="0" applyNumberFormat="1" applyFont="1" applyFill="1" applyBorder="1" applyAlignment="1">
      <alignment horizontal="left"/>
    </xf>
    <xf numFmtId="2" fontId="5" fillId="6" borderId="1" xfId="0" applyNumberFormat="1" applyFont="1" applyFill="1" applyBorder="1"/>
    <xf numFmtId="2" fontId="5" fillId="6" borderId="1" xfId="0" applyNumberFormat="1" applyFont="1" applyFill="1" applyBorder="1" applyAlignment="1">
      <alignment horizontal="left"/>
    </xf>
    <xf numFmtId="3" fontId="5" fillId="6" borderId="1" xfId="0" applyNumberFormat="1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left"/>
    </xf>
    <xf numFmtId="165" fontId="0" fillId="6" borderId="1" xfId="0" applyNumberFormat="1" applyFill="1" applyBorder="1"/>
    <xf numFmtId="9" fontId="6" fillId="6" borderId="1" xfId="1" applyFont="1" applyFill="1" applyBorder="1"/>
    <xf numFmtId="164" fontId="0" fillId="6" borderId="1" xfId="0" applyNumberFormat="1" applyFill="1" applyBorder="1"/>
    <xf numFmtId="9" fontId="0" fillId="6" borderId="1" xfId="1" applyFont="1" applyFill="1" applyBorder="1"/>
    <xf numFmtId="2" fontId="0" fillId="6" borderId="3" xfId="0" applyNumberFormat="1" applyFill="1" applyBorder="1"/>
    <xf numFmtId="0" fontId="0" fillId="6" borderId="0" xfId="0" applyFill="1"/>
    <xf numFmtId="0" fontId="7" fillId="6" borderId="1" xfId="0" applyFont="1" applyFill="1" applyBorder="1"/>
    <xf numFmtId="3" fontId="7" fillId="6" borderId="1" xfId="0" applyNumberFormat="1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2" fontId="7" fillId="6" borderId="1" xfId="0" applyNumberFormat="1" applyFont="1" applyFill="1" applyBorder="1" applyAlignment="1">
      <alignment horizontal="left"/>
    </xf>
    <xf numFmtId="9" fontId="7" fillId="6" borderId="1" xfId="0" applyNumberFormat="1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/>
    </xf>
    <xf numFmtId="9" fontId="0" fillId="6" borderId="3" xfId="1" applyFont="1" applyFill="1" applyBorder="1"/>
    <xf numFmtId="0" fontId="11" fillId="0" borderId="5" xfId="0" applyFont="1" applyBorder="1" applyAlignment="1">
      <alignment horizontal="left" vertical="center" indent="1"/>
    </xf>
    <xf numFmtId="2" fontId="11" fillId="0" borderId="5" xfId="0" applyNumberFormat="1" applyFont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164" fontId="11" fillId="0" borderId="6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0" fontId="12" fillId="0" borderId="5" xfId="0" applyNumberFormat="1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/>
    </xf>
    <xf numFmtId="10" fontId="12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3" formatCode="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164" formatCode="&quot;$&quot;#,##0.00"/>
      <fill>
        <patternFill patternType="solid">
          <fgColor rgb="FFF1F3F4"/>
          <bgColor rgb="FFF1F3F4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2" formatCode="0.00"/>
      <fill>
        <patternFill patternType="solid">
          <fgColor rgb="FFF8F9FA"/>
          <bgColor rgb="FFF8F9FA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8ED1E7-F883-4B85-8F8D-806A597452F1}" name="Table3" displayName="Table3" ref="A1:P10" totalsRowShown="0" headerRowBorderDxfId="149" tableBorderDxfId="148" totalsRowBorderDxfId="147">
  <tableColumns count="16">
    <tableColumn id="2" xr3:uid="{CAFE4F03-084B-4387-9A9D-3622E0D12BCE}" name="First user primary channel group (Default Channel Group)" dataDxfId="146"/>
    <tableColumn id="3" xr3:uid="{1F3C4FE3-A899-48DA-8308-721A3D7317A8}" name="New users" dataDxfId="145"/>
    <tableColumn id="4" xr3:uid="{1DA7850C-9287-4670-92A0-62232776DFAF}" name="Engaged sessions" dataDxfId="144"/>
    <tableColumn id="5" xr3:uid="{0C843B40-58F6-413C-A105-0DC308C18E48}" name="Engagement rate" dataDxfId="143"/>
    <tableColumn id="6" xr3:uid="{0005C570-7B27-4C62-871C-6B0F2AFFFAD7}" name="Engaged sessions per user" dataDxfId="142"/>
    <tableColumn id="7" xr3:uid="{CA2A8B14-2E36-49F3-845A-A702CA90052F}" name="Avg engagement time (sec)" dataDxfId="141"/>
    <tableColumn id="8" xr3:uid="{9B82929B-ED8C-43B8-8767-F7C1BE107FE8}" name="Cost / spent" dataDxfId="140"/>
    <tableColumn id="9" xr3:uid="{E0391E5A-909F-4126-BC44-371483F69D59}" name="Impressions" dataDxfId="139"/>
    <tableColumn id="10" xr3:uid="{BE66D37B-5E3A-42AE-9C8C-E8053D818BFB}" name="Event count" dataDxfId="138"/>
    <tableColumn id="11" xr3:uid="{948C2898-C30C-421D-A74B-EF06F2125366}" name="Key events_x000a_" dataDxfId="137"/>
    <tableColumn id="12" xr3:uid="{27474002-0C6B-4DE6-BA5E-A9F02D6DE1B8}" name="Total revenue" dataDxfId="136"/>
    <tableColumn id="13" xr3:uid="{B34A6409-ABD2-4553-BD82-52CE11A61130}" name="CTR (%) = (Key Events / Impressions) * 100  " dataDxfId="135"/>
    <tableColumn id="14" xr3:uid="{D4E16E7D-A27E-4464-8330-A12CE7130EBD}" name="ROI = ((Total Revenue - Cost) / Cost) * 100 " dataDxfId="134" dataCellStyle="Percent"/>
    <tableColumn id="15" xr3:uid="{1E01C9FA-118A-4A58-A118-1178DDDFA11C}" name=" CPC = Cost / Key Events" dataDxfId="133"/>
    <tableColumn id="16" xr3:uid="{684ED461-CBA1-4287-9745-DE9361E72824}" name="User Conversion rate = (key events/engaged sessions)*100" dataDxfId="132" dataCellStyle="Percent"/>
    <tableColumn id="17" xr3:uid="{A84A8F55-515D-4581-9290-272377A6CFB6}" name="CPA = (cost/ action)           " dataDxfId="1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F06C68-2007-41C5-B328-2759FA109484}" name="Table4" displayName="Table4" ref="A1:M10" totalsRowShown="0" headerRowDxfId="130" headerRowBorderDxfId="129" tableBorderDxfId="128" totalsRowBorderDxfId="127">
  <autoFilter ref="A1:M10" xr:uid="{25F06C68-2007-41C5-B328-2759FA1094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2" xr3:uid="{A95F6551-B537-424A-B8CE-0C80708582FB}" name="Session primary channel group" dataDxfId="126"/>
    <tableColumn id="3" xr3:uid="{EAF22CCA-B073-42F8-89CA-C1E9AA434DE6}" name="Users" dataDxfId="125"/>
    <tableColumn id="4" xr3:uid="{691033A6-07E8-474D-AE78-6B381421D797}" name="Sessions" dataDxfId="124"/>
    <tableColumn id="5" xr3:uid="{73E55270-E378-4FEC-8E2A-C9F109697698}" name="Engaged sessions" dataDxfId="123"/>
    <tableColumn id="6" xr3:uid="{A382F890-566C-4712-B14B-3E8EDA1F60FD}" name="Average engagement time per session(sec)" dataDxfId="122"/>
    <tableColumn id="7" xr3:uid="{300378F1-B7BB-4BD7-8B7D-765ABBC2DA42}" name="Engaged sessions per user" dataDxfId="121"/>
    <tableColumn id="8" xr3:uid="{4A5A11DC-2E38-46CA-95D2-038FC4C46AD7}" name="Events per session" dataDxfId="120"/>
    <tableColumn id="9" xr3:uid="{F5076568-E9FD-4D1E-A324-894B5449AFF8}" name="Engagement rate" dataDxfId="119"/>
    <tableColumn id="10" xr3:uid="{3A4FC101-D1F7-4D0E-B01D-35ECB8EE5251}" name="Event count" dataDxfId="118"/>
    <tableColumn id="11" xr3:uid="{D0434860-46D1-4220-9B11-C61628C1D4DA}" name="Key events" dataDxfId="117"/>
    <tableColumn id="12" xr3:uid="{0D804E13-907F-499A-994F-61CB26092B76}" name="Cost / spent" dataDxfId="116"/>
    <tableColumn id="13" xr3:uid="{F31B3BBD-6B2E-488E-BDE0-D36B41404FC4}" name="Total revenue" dataDxfId="115"/>
    <tableColumn id="14" xr3:uid="{D71E5989-B9E1-4D8D-83E2-99CE2BF4DA99}" name="Traffic Conversion rate = (key events/engaged sessions)*100" dataDxfId="114" dataCellStyle="Perc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E385E-33ED-4148-AACE-89AC6E3EE678}" name="Table5" displayName="Table5" ref="A1:J10" totalsRowShown="0" headerRowDxfId="113" headerRowBorderDxfId="112" tableBorderDxfId="111" totalsRowBorderDxfId="110">
  <autoFilter ref="A1:J10" xr:uid="{87FE385E-33ED-4148-AACE-89AC6E3EE6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2" xr3:uid="{FB9ADE98-8BA8-43DA-B17A-ECD05BAD8004}" name="First user primary channel group (Default Channel Group)" dataDxfId="109"/>
    <tableColumn id="3" xr3:uid="{56E64833-4EA3-45CF-A1CB-2627B42308EE}" name="Cost / spent" dataDxfId="108"/>
    <tableColumn id="4" xr3:uid="{3A79F227-8BB6-4F83-B1C6-9E21ABB405FD}" name="Engagement rate" dataDxfId="107"/>
    <tableColumn id="5" xr3:uid="{A41A7B7E-C311-4AF0-B8B3-255DA7B8CACB}" name="Total revenue" dataDxfId="106"/>
    <tableColumn id="6" xr3:uid="{3E62B4FF-7B09-4095-8404-5113D3B5C4FA}" name="CTR (%) = (Key Events / Impressions) * 100  " dataDxfId="105"/>
    <tableColumn id="7" xr3:uid="{80006D30-537E-4C41-BFE3-C07CFCAA0EE2}" name="ROI = ((Total Revenue - Cost) / Cost) * 100 " dataDxfId="104" dataCellStyle="Percent"/>
    <tableColumn id="8" xr3:uid="{2508895B-0632-4325-907B-C8C8F31A4F2E}" name=" CPC = Cost / Key Events" dataDxfId="103"/>
    <tableColumn id="9" xr3:uid="{D18097D5-01BA-455F-B383-671418136EFC}" name="User Conversion rate = (key events/engaged sessions)*100" dataDxfId="102" dataCellStyle="Percent"/>
    <tableColumn id="10" xr3:uid="{F8F0CC3B-DF03-419F-A00F-11CE2987D4C7}" name="CPA = cost/ action    " dataDxfId="101"/>
    <tableColumn id="11" xr3:uid="{0620602E-3D6D-44AA-AE4C-16DF27A24E87}" name="Traffic Conversion rate = (key events/engaged sessions)*100" dataDxfId="100" dataCellStyle="Perc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CA659A-078F-42CA-A53E-22ED0706C3AF}" name="Table6" displayName="Table6" ref="A1:E27" totalsRowShown="0" headerRowDxfId="99" dataDxfId="97" headerRowBorderDxfId="98" tableBorderDxfId="96" totalsRowBorderDxfId="95">
  <autoFilter ref="A1:E27" xr:uid="{89CA659A-078F-42CA-A53E-22ED0706C3A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8EDCBFC5-D911-4914-9212-7C8127A9A2FA}" name="Event name" dataDxfId="94"/>
    <tableColumn id="3" xr3:uid="{51A2B72D-8347-4D2F-A28A-C586A47142E3}" name="Event count" dataDxfId="93"/>
    <tableColumn id="4" xr3:uid="{7E26F14F-BB09-4E76-BA68-FC259205C574}" name="Total users" dataDxfId="92"/>
    <tableColumn id="5" xr3:uid="{BD14051B-99B4-4733-A7C5-CBF027E60EEE}" name="Event count per user" dataDxfId="91"/>
    <tableColumn id="6" xr3:uid="{9C652330-6BDB-4AB8-94DF-95CE7386691F}" name="Total revenue" dataDxfId="9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2325A2-5648-4DE3-A043-B9BC9AFA4DB7}" name="Table7" displayName="Table7" ref="A1:G567" totalsRowShown="0" headerRowDxfId="2" dataDxfId="88" headerRowBorderDxfId="89" tableBorderDxfId="87">
  <autoFilter ref="A1:G567" xr:uid="{382325A2-5648-4DE3-A043-B9BC9AFA4D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2" xr3:uid="{957CC74E-CBCF-4821-A7FF-777D576F1C00}" name="Landing page" dataDxfId="86"/>
    <tableColumn id="3" xr3:uid="{46192456-1401-44E5-BA74-95EDC6BF0B29}" name="Sessions" dataDxfId="85"/>
    <tableColumn id="4" xr3:uid="{DC4BF705-B091-4009-AAD3-434DE2642D49}" name="Users" dataDxfId="84"/>
    <tableColumn id="5" xr3:uid="{08F09A35-8336-4DBE-8B58-2348255A5A71}" name="New users" dataDxfId="83"/>
    <tableColumn id="6" xr3:uid="{271079A4-AF78-4D53-968D-7AEF5F63118D}" name="Average engagement time per session(in sec)" dataDxfId="82"/>
    <tableColumn id="7" xr3:uid="{8DB79B4C-F235-4C1B-9EF0-9E3E38C9DC8C}" name="Key events" dataDxfId="81"/>
    <tableColumn id="8" xr3:uid="{1E0F8959-89C9-499F-B5D3-3CD6119769B3}" name="Total revenue" dataDxfId="8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D3973A-B787-472E-AF15-E840DF20ACC8}" name="Table8" displayName="Table8" ref="A1:G11" totalsRowShown="0" headerRowBorderDxfId="79" tableBorderDxfId="78" totalsRowBorderDxfId="77">
  <autoFilter ref="A1:G11" xr:uid="{98D3973A-B787-472E-AF15-E840DF20AC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2" xr3:uid="{E32F433E-2BA6-4824-BCB1-CC7786756BD2}" name="Audience name" dataDxfId="76"/>
    <tableColumn id="3" xr3:uid="{31278232-6D22-4D36-B800-C589FCCB5549}" name="Users" dataDxfId="75"/>
    <tableColumn id="4" xr3:uid="{6FD53ED2-C1F5-47AA-97DA-11A2BD7E6741}" name="New users" dataDxfId="74"/>
    <tableColumn id="5" xr3:uid="{B57A9C5A-D8F8-4C60-B7E1-481C625C98DB}" name="Sessions" dataDxfId="73"/>
    <tableColumn id="6" xr3:uid="{BBEC3994-AB8C-4320-ABE6-8D7C0C1049E4}" name="Views per session" dataDxfId="72"/>
    <tableColumn id="7" xr3:uid="{16E06388-D177-4A79-B079-0B2F312006A3}" name="Average session duration(in sec)" dataDxfId="71"/>
    <tableColumn id="8" xr3:uid="{65E2F4E8-9319-4B59-9A14-2AD364FE843B}" name="Total revenue" dataDxfId="7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A2F6D0-06A7-49E0-8FAA-CBB27C25AD3A}" name="Table9" displayName="Table9" ref="A1:K159" totalsRowShown="0" headerRowDxfId="1" headerRowBorderDxfId="69" tableBorderDxfId="68" totalsRowBorderDxfId="67">
  <tableColumns count="11">
    <tableColumn id="1" xr3:uid="{8388DEE3-063A-41CD-9174-BE0C29BA2CA4}" name="Country" dataDxfId="66"/>
    <tableColumn id="2" xr3:uid="{E2C33533-7A0C-47B2-8FD8-52B5BEF2C715}" name="Users" dataDxfId="65"/>
    <tableColumn id="3" xr3:uid="{7A9E76A6-E82A-46B7-98DC-ACC9B41A20FF}" name="New users" dataDxfId="64"/>
    <tableColumn id="4" xr3:uid="{A80EF4F9-9619-4BAA-BA43-BF2376207A04}" name="Engaged sessions" dataDxfId="63"/>
    <tableColumn id="5" xr3:uid="{1D5755AA-0AAD-4911-A872-775C664BF4BC}" name="Engagement rate" dataDxfId="62"/>
    <tableColumn id="6" xr3:uid="{EDF140FF-590F-4D85-8361-3EB594660ED5}" name="Engaged sessions per user" dataDxfId="61"/>
    <tableColumn id="7" xr3:uid="{B7C9C984-F4C2-43C5-9D4F-034A5A9FA721}" name="Average engagement time(in sec)" dataDxfId="60"/>
    <tableColumn id="8" xr3:uid="{263B38F3-495E-41CD-A068-76D98C515FFC}" name="Event count" dataDxfId="59"/>
    <tableColumn id="9" xr3:uid="{F5191CB7-665F-435B-A090-8829EFDE07B5}" name="Key events" dataDxfId="58"/>
    <tableColumn id="10" xr3:uid="{4813B610-48A1-4F21-ACE1-B725D4D52EB0}" name="Total revenue" dataDxfId="57"/>
    <tableColumn id="11" xr3:uid="{B7D6FEA6-6BD4-4BCB-A2F2-3C4EC1D304CC}" name="Conversion rate = (key events/engaged sessions)*100" dataDxfId="56">
      <calculatedColumnFormula>IF(D2=0, 0, I2/D2)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C43AA0-4FB7-4A9D-9E37-897FD2158F4D}" name="Table10" displayName="Table10" ref="A1:K8" totalsRowShown="0" dataDxfId="54" headerRowBorderDxfId="55" tableBorderDxfId="53" totalsRowBorderDxfId="52">
  <autoFilter ref="A1:K8" xr:uid="{71C43AA0-4FB7-4A9D-9E37-897FD2158F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2" xr3:uid="{2E2E06A5-E133-48D1-B66C-35796D68BB27}" name="Age" dataDxfId="51"/>
    <tableColumn id="3" xr3:uid="{5234E844-9614-46C3-A780-B3AD075E575C}" name="Users" dataDxfId="50"/>
    <tableColumn id="4" xr3:uid="{5E69E36E-CBA9-47F4-AB4E-53D4605C809B}" name="New users" dataDxfId="49"/>
    <tableColumn id="5" xr3:uid="{E4AC1184-AD60-4121-AC91-214C731FB8F9}" name="Engaged sessions" dataDxfId="48"/>
    <tableColumn id="6" xr3:uid="{AE6C18CB-FB72-400C-91DA-2ADEFA758301}" name="Engagement rate" dataDxfId="47"/>
    <tableColumn id="7" xr3:uid="{C1110AA0-B313-4363-AFD0-7C75F88ACB3C}" name="Engaged sessions per user" dataDxfId="46"/>
    <tableColumn id="8" xr3:uid="{850399AB-7D01-41C5-88F1-EF4EBA9148D6}" name="Average engagement time(in sec)" dataDxfId="45"/>
    <tableColumn id="9" xr3:uid="{AC280F03-0916-4A81-88C8-82BB56C784F1}" name="Event count" dataDxfId="44"/>
    <tableColumn id="10" xr3:uid="{F284F4DA-4FA9-4C69-BC11-96CD6C9238F6}" name="Key events" dataDxfId="43"/>
    <tableColumn id="11" xr3:uid="{62092452-362F-4BDD-8F5D-F885A9B385E4}" name="Total revenue" dataDxfId="42"/>
    <tableColumn id="12" xr3:uid="{06AE7A73-E3E4-480E-A2D9-B1E40DAA55E9}" name="Conversion rate = (key events/engaged sessions)*100" dataDxfId="4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A9E293-C7E8-4F13-A10A-FD66A154028F}" name="Table11" displayName="Table11" ref="A1:K133" totalsRowShown="0" headerRowDxfId="40" dataDxfId="38" headerRowBorderDxfId="39" tableBorderDxfId="37" totalsRowBorderDxfId="36">
  <autoFilter ref="A1:K133" xr:uid="{8EA9E293-C7E8-4F13-A10A-FD66A15402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2" xr3:uid="{BA923262-E4D9-4696-914D-F62B3D2826E0}" name="Interests" dataDxfId="35"/>
    <tableColumn id="3" xr3:uid="{AE24BD3E-C7CC-495F-93F1-09DA64F389DC}" name="Users" dataDxfId="34"/>
    <tableColumn id="4" xr3:uid="{317A045A-AA29-4C99-B237-E1E383BA64D5}" name="New users" dataDxfId="33"/>
    <tableColumn id="5" xr3:uid="{1DF66B88-EC68-4F67-B596-4FE358A67E96}" name="Engaged sessions" dataDxfId="32"/>
    <tableColumn id="6" xr3:uid="{64941043-DFDB-42C8-B6E9-425780A38085}" name="Engagement rate" dataDxfId="31"/>
    <tableColumn id="7" xr3:uid="{77B15699-368E-4C7D-A847-8F518ED4DAF1}" name="Engaged sessions per user" dataDxfId="30"/>
    <tableColumn id="8" xr3:uid="{618CFDE9-33A6-4CEF-AC41-E32F16422BB5}" name="Average engagement time(in sec)" dataDxfId="29"/>
    <tableColumn id="9" xr3:uid="{F25671AF-8793-4E8C-A63F-76C90F6DEFDC}" name="Event count" dataDxfId="28"/>
    <tableColumn id="10" xr3:uid="{99C57B02-9DD1-472C-923B-257179AE82F8}" name="Key events" dataDxfId="27"/>
    <tableColumn id="11" xr3:uid="{5C3F5718-B28F-4072-92E4-9AACE0CC844C}" name="Total revenue" dataDxfId="26"/>
    <tableColumn id="12" xr3:uid="{EB81853F-557B-44BB-BE90-5E96B6128507}" name="Conversion rate = (key events/engaged sessions)*100" dataDxfId="2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F6BCB-52F4-4C97-B490-4E743D03DBC8}" name="Table1" displayName="Table1" ref="A1:K4" totalsRowShown="0" headerRowDxfId="24" dataDxfId="22" headerRowBorderDxfId="23" tableBorderDxfId="21" totalsRowBorderDxfId="20">
  <tableColumns count="11">
    <tableColumn id="2" xr3:uid="{5AC8E06D-F47C-4D2A-AA36-372FAD36E51F}" name="Gender" dataDxfId="19"/>
    <tableColumn id="3" xr3:uid="{DEAA8C39-7104-4B42-8ABE-4DEB5B7B6E63}" name="Users" dataDxfId="18"/>
    <tableColumn id="4" xr3:uid="{E9047350-93EB-4083-9013-44A16B2E55DE}" name="New users" dataDxfId="17"/>
    <tableColumn id="5" xr3:uid="{A361FEAD-2D99-4206-B7F0-D8BA24D449CA}" name="Engaged sessions" dataDxfId="16"/>
    <tableColumn id="6" xr3:uid="{41E5B82C-6513-44B1-B2E4-A566C3839B16}" name="Engagement rate" dataDxfId="15"/>
    <tableColumn id="7" xr3:uid="{B14BE445-B707-4EF9-938D-E855363F7A9B}" name="Engaged sessions per user" dataDxfId="14"/>
    <tableColumn id="8" xr3:uid="{30047E6C-68DD-4F3A-B2DF-F2429F14793F}" name="Average engagement time(in sec)" dataDxfId="13"/>
    <tableColumn id="9" xr3:uid="{94061500-B458-4323-B41D-540ED5F6E8E5}" name="Event count" dataDxfId="12"/>
    <tableColumn id="10" xr3:uid="{8216E526-B7E1-485D-A4ED-640A65757642}" name="Key events" dataDxfId="11"/>
    <tableColumn id="11" xr3:uid="{D5DCBAEA-C4A6-447B-8D94-564BD250CFEB}" name="Total revenue" dataDxfId="10"/>
    <tableColumn id="12" xr3:uid="{BEF8E3F2-3481-4DCD-B832-130459E87FF9}" name="Conversion rate = (key events/engaged sessions)*100" dataDxfId="9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28864-20F8-4A75-8B80-297A59119C40}" name="Table2" displayName="Table2" ref="A1:C2" totalsRowShown="0" headerRowBorderDxfId="8" tableBorderDxfId="7" totalsRowBorderDxfId="6">
  <tableColumns count="3">
    <tableColumn id="1" xr3:uid="{36564B61-9874-4606-8136-C099BE52F69F}" name="Sl.No" dataDxfId="5"/>
    <tableColumn id="2" xr3:uid="{81B2670F-9C5E-4F61-ADD3-76E3C83F9EFC}" name="New users" dataDxfId="4"/>
    <tableColumn id="3" xr3:uid="{647860C5-D632-4521-A7A6-FFB7F3828127}" name="Returnng users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EE12-534B-4475-BEDE-013BB40319D3}">
  <dimension ref="A1:P10"/>
  <sheetViews>
    <sheetView topLeftCell="B1" workbookViewId="0">
      <selection activeCell="N7" sqref="N7"/>
    </sheetView>
  </sheetViews>
  <sheetFormatPr defaultColWidth="10" defaultRowHeight="15" x14ac:dyDescent="0.25"/>
  <cols>
    <col min="1" max="1" width="19.140625" customWidth="1"/>
    <col min="12" max="12" width="12.7109375" customWidth="1"/>
    <col min="13" max="13" width="13.140625" customWidth="1"/>
    <col min="15" max="15" width="12.42578125" customWidth="1"/>
  </cols>
  <sheetData>
    <row r="1" spans="1:16" ht="63" customHeight="1" x14ac:dyDescent="0.25">
      <c r="A1" s="61" t="s">
        <v>13</v>
      </c>
      <c r="B1" s="62" t="s">
        <v>14</v>
      </c>
      <c r="C1" s="61" t="s">
        <v>15</v>
      </c>
      <c r="D1" s="61" t="s">
        <v>16</v>
      </c>
      <c r="E1" s="61" t="s">
        <v>0</v>
      </c>
      <c r="F1" s="63" t="s">
        <v>1</v>
      </c>
      <c r="G1" s="64" t="s">
        <v>2</v>
      </c>
      <c r="H1" s="61" t="s">
        <v>3</v>
      </c>
      <c r="I1" s="61" t="s">
        <v>4</v>
      </c>
      <c r="J1" s="62" t="s">
        <v>5</v>
      </c>
      <c r="K1" s="118" t="s">
        <v>6</v>
      </c>
      <c r="L1" s="117" t="s">
        <v>7</v>
      </c>
      <c r="M1" s="66" t="s">
        <v>8</v>
      </c>
      <c r="N1" s="67" t="s">
        <v>9</v>
      </c>
      <c r="O1" s="119" t="s">
        <v>10</v>
      </c>
      <c r="P1" s="68" t="s">
        <v>11</v>
      </c>
    </row>
    <row r="2" spans="1:16" x14ac:dyDescent="0.25">
      <c r="A2" s="14" t="s">
        <v>17</v>
      </c>
      <c r="B2" s="4">
        <v>46784</v>
      </c>
      <c r="C2" s="4">
        <v>30540</v>
      </c>
      <c r="D2" s="15">
        <v>0.3785</v>
      </c>
      <c r="E2" s="1">
        <v>0.61</v>
      </c>
      <c r="F2" s="2">
        <v>11</v>
      </c>
      <c r="G2" s="3">
        <v>425.1</v>
      </c>
      <c r="H2" s="4">
        <v>36648</v>
      </c>
      <c r="I2" s="4">
        <v>481707</v>
      </c>
      <c r="J2" s="5">
        <v>8502</v>
      </c>
      <c r="K2" s="6">
        <v>1003.59</v>
      </c>
      <c r="L2" s="7">
        <v>0.23199083169613621</v>
      </c>
      <c r="M2" s="8">
        <v>1.3608327452364148</v>
      </c>
      <c r="N2" s="9">
        <v>0.05</v>
      </c>
      <c r="O2" s="10">
        <v>0.27838899803536343</v>
      </c>
      <c r="P2" s="60">
        <v>1.3919449901768174E-2</v>
      </c>
    </row>
    <row r="3" spans="1:16" x14ac:dyDescent="0.25">
      <c r="A3" s="14" t="s">
        <v>18</v>
      </c>
      <c r="B3" s="4">
        <v>6838</v>
      </c>
      <c r="C3" s="4">
        <v>5743</v>
      </c>
      <c r="D3" s="15">
        <v>0.67210000000000003</v>
      </c>
      <c r="E3" s="1">
        <v>0.83</v>
      </c>
      <c r="F3" s="2">
        <v>16</v>
      </c>
      <c r="G3" s="3">
        <v>120.33</v>
      </c>
      <c r="H3" s="4">
        <v>6892</v>
      </c>
      <c r="I3" s="4">
        <v>60848</v>
      </c>
      <c r="J3" s="5">
        <v>4011</v>
      </c>
      <c r="K3" s="6">
        <v>2811.96</v>
      </c>
      <c r="L3" s="7">
        <v>0.58197910621009863</v>
      </c>
      <c r="M3" s="8">
        <v>22.368735976065821</v>
      </c>
      <c r="N3" s="9">
        <v>0.03</v>
      </c>
      <c r="O3" s="11">
        <v>0.69841546230193274</v>
      </c>
      <c r="P3" s="60">
        <v>2.0952463869057983E-2</v>
      </c>
    </row>
    <row r="4" spans="1:16" x14ac:dyDescent="0.25">
      <c r="A4" s="14" t="s">
        <v>19</v>
      </c>
      <c r="B4" s="4">
        <v>1925</v>
      </c>
      <c r="C4" s="4">
        <v>1618</v>
      </c>
      <c r="D4" s="15">
        <v>0.72850000000000004</v>
      </c>
      <c r="E4" s="1">
        <v>0.84</v>
      </c>
      <c r="F4" s="2">
        <v>42</v>
      </c>
      <c r="G4" s="3">
        <v>76.2</v>
      </c>
      <c r="H4" s="4">
        <v>1942</v>
      </c>
      <c r="I4" s="4">
        <v>26940</v>
      </c>
      <c r="J4" s="5">
        <v>1905</v>
      </c>
      <c r="K4" s="6">
        <v>396.25</v>
      </c>
      <c r="L4" s="7">
        <v>0.98094747682801231</v>
      </c>
      <c r="M4" s="8">
        <v>4.2001312335958003</v>
      </c>
      <c r="N4" s="9">
        <v>0.04</v>
      </c>
      <c r="O4" s="11">
        <v>1.1773794808405438</v>
      </c>
      <c r="P4" s="60">
        <v>4.7095179233621755E-2</v>
      </c>
    </row>
    <row r="5" spans="1:16" s="132" customFormat="1" x14ac:dyDescent="0.25">
      <c r="A5" s="120" t="s">
        <v>20</v>
      </c>
      <c r="B5" s="121">
        <v>637</v>
      </c>
      <c r="C5" s="121">
        <v>162</v>
      </c>
      <c r="D5" s="122">
        <v>0.2263</v>
      </c>
      <c r="E5" s="121">
        <v>0.25</v>
      </c>
      <c r="F5" s="123">
        <v>0</v>
      </c>
      <c r="G5" s="124">
        <v>9.6999999999999993</v>
      </c>
      <c r="H5" s="125">
        <v>194</v>
      </c>
      <c r="I5" s="125">
        <v>2706</v>
      </c>
      <c r="J5" s="121">
        <v>97</v>
      </c>
      <c r="K5" s="126">
        <v>858.01</v>
      </c>
      <c r="L5" s="127">
        <v>0.5</v>
      </c>
      <c r="M5" s="128">
        <v>87.454639175257739</v>
      </c>
      <c r="N5" s="129">
        <v>9.9999999999999992E-2</v>
      </c>
      <c r="O5" s="130">
        <v>0.59876543209876543</v>
      </c>
      <c r="P5" s="131">
        <v>5.9876543209876537E-2</v>
      </c>
    </row>
    <row r="6" spans="1:16" x14ac:dyDescent="0.25">
      <c r="A6" s="14" t="s">
        <v>21</v>
      </c>
      <c r="B6" s="1">
        <v>378</v>
      </c>
      <c r="C6" s="1">
        <v>264</v>
      </c>
      <c r="D6" s="15">
        <v>0.61399999999999999</v>
      </c>
      <c r="E6" s="1">
        <v>0.69</v>
      </c>
      <c r="F6" s="2">
        <v>11</v>
      </c>
      <c r="G6" s="3">
        <v>3.34</v>
      </c>
      <c r="H6" s="4">
        <v>317</v>
      </c>
      <c r="I6" s="4">
        <v>3126</v>
      </c>
      <c r="J6" s="1">
        <v>167</v>
      </c>
      <c r="K6" s="6">
        <v>0</v>
      </c>
      <c r="L6" s="7">
        <v>0.52681388012618302</v>
      </c>
      <c r="M6" s="8">
        <v>-1</v>
      </c>
      <c r="N6" s="9">
        <v>0.02</v>
      </c>
      <c r="O6" s="11">
        <v>0.63257575757575757</v>
      </c>
      <c r="P6" s="60">
        <v>1.2651515151515151E-2</v>
      </c>
    </row>
    <row r="7" spans="1:16" x14ac:dyDescent="0.25">
      <c r="A7" s="14" t="s">
        <v>22</v>
      </c>
      <c r="B7" s="1">
        <v>90</v>
      </c>
      <c r="C7" s="1">
        <v>115</v>
      </c>
      <c r="D7" s="15">
        <v>0.89149999999999996</v>
      </c>
      <c r="E7" s="1">
        <v>1.28</v>
      </c>
      <c r="F7" s="2">
        <v>30</v>
      </c>
      <c r="G7" s="3">
        <v>11.69</v>
      </c>
      <c r="H7" s="1">
        <v>138</v>
      </c>
      <c r="I7" s="1">
        <v>979</v>
      </c>
      <c r="J7" s="1">
        <v>167</v>
      </c>
      <c r="K7" s="6">
        <v>0</v>
      </c>
      <c r="L7" s="12">
        <v>1.2101449275362319</v>
      </c>
      <c r="M7" s="8">
        <v>-1</v>
      </c>
      <c r="N7" s="9">
        <v>6.9999999999999993E-2</v>
      </c>
      <c r="O7" s="11">
        <v>1.4521739130434783</v>
      </c>
      <c r="P7" s="60">
        <v>0.10165217391304347</v>
      </c>
    </row>
    <row r="8" spans="1:16" x14ac:dyDescent="0.25">
      <c r="A8" s="14" t="s">
        <v>23</v>
      </c>
      <c r="B8" s="1">
        <v>13</v>
      </c>
      <c r="C8" s="1">
        <v>1</v>
      </c>
      <c r="D8" s="15">
        <v>6.6699999999999995E-2</v>
      </c>
      <c r="E8" s="1">
        <v>0.08</v>
      </c>
      <c r="F8" s="2">
        <v>7</v>
      </c>
      <c r="G8" s="3">
        <v>0</v>
      </c>
      <c r="H8" s="1">
        <v>1</v>
      </c>
      <c r="I8" s="1">
        <v>70</v>
      </c>
      <c r="J8" s="1">
        <v>0</v>
      </c>
      <c r="K8" s="6">
        <v>0</v>
      </c>
      <c r="L8" s="7">
        <v>0</v>
      </c>
      <c r="M8" s="8">
        <v>0</v>
      </c>
      <c r="N8" s="9">
        <v>0</v>
      </c>
      <c r="O8" s="11">
        <v>0</v>
      </c>
      <c r="P8" s="60">
        <v>0</v>
      </c>
    </row>
    <row r="9" spans="1:16" x14ac:dyDescent="0.25">
      <c r="A9" s="14" t="s">
        <v>24</v>
      </c>
      <c r="B9" s="1">
        <v>0</v>
      </c>
      <c r="C9" s="1">
        <v>1</v>
      </c>
      <c r="D9" s="16">
        <v>0.25</v>
      </c>
      <c r="E9" s="1">
        <v>0.5</v>
      </c>
      <c r="F9" s="2">
        <v>0</v>
      </c>
      <c r="G9" s="3">
        <v>0.05</v>
      </c>
      <c r="H9" s="1">
        <v>1</v>
      </c>
      <c r="I9" s="1">
        <v>24</v>
      </c>
      <c r="J9" s="1">
        <v>1</v>
      </c>
      <c r="K9" s="6">
        <v>0</v>
      </c>
      <c r="L9" s="7">
        <v>1</v>
      </c>
      <c r="M9" s="8">
        <v>-1</v>
      </c>
      <c r="N9" s="9">
        <v>0.05</v>
      </c>
      <c r="O9" s="11">
        <v>1</v>
      </c>
      <c r="P9" s="60">
        <v>0.05</v>
      </c>
    </row>
    <row r="10" spans="1:16" x14ac:dyDescent="0.25">
      <c r="A10" s="69" t="s">
        <v>25</v>
      </c>
      <c r="B10" s="70">
        <v>0</v>
      </c>
      <c r="C10" s="70">
        <v>0</v>
      </c>
      <c r="D10" s="71">
        <v>0</v>
      </c>
      <c r="E10" s="70">
        <v>0</v>
      </c>
      <c r="F10" s="72">
        <v>0</v>
      </c>
      <c r="G10" s="73">
        <v>0</v>
      </c>
      <c r="H10" s="70">
        <v>0</v>
      </c>
      <c r="I10" s="70">
        <v>78</v>
      </c>
      <c r="J10" s="70">
        <v>0</v>
      </c>
      <c r="K10" s="74">
        <v>0</v>
      </c>
      <c r="L10" s="75">
        <v>0</v>
      </c>
      <c r="M10" s="76">
        <v>0</v>
      </c>
      <c r="N10" s="77">
        <v>0</v>
      </c>
      <c r="O10" s="78">
        <v>0</v>
      </c>
      <c r="P10" s="79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0CEA-6BB7-48BD-BC06-A67135CAD827}">
  <dimension ref="A1:M10"/>
  <sheetViews>
    <sheetView workbookViewId="0">
      <selection activeCell="C15" sqref="C15"/>
    </sheetView>
  </sheetViews>
  <sheetFormatPr defaultRowHeight="15" x14ac:dyDescent="0.25"/>
  <cols>
    <col min="1" max="1" width="26.85546875" customWidth="1"/>
    <col min="3" max="3" width="9.5703125" customWidth="1"/>
    <col min="4" max="4" width="16.28515625" customWidth="1"/>
    <col min="5" max="5" width="36.7109375" customWidth="1"/>
    <col min="6" max="6" width="23.28515625" customWidth="1"/>
    <col min="7" max="7" width="17.42578125" customWidth="1"/>
    <col min="8" max="8" width="16.5703125" customWidth="1"/>
    <col min="9" max="9" width="12.42578125" customWidth="1"/>
    <col min="10" max="10" width="11.7109375" customWidth="1"/>
    <col min="11" max="11" width="14.5703125" customWidth="1"/>
    <col min="12" max="12" width="14" customWidth="1"/>
    <col min="13" max="13" width="50" customWidth="1"/>
  </cols>
  <sheetData>
    <row r="1" spans="1:13" ht="54.75" customHeight="1" x14ac:dyDescent="0.25">
      <c r="A1" s="45" t="s">
        <v>26</v>
      </c>
      <c r="B1" s="45" t="s">
        <v>27</v>
      </c>
      <c r="C1" s="45" t="s">
        <v>28</v>
      </c>
      <c r="D1" s="45" t="s">
        <v>15</v>
      </c>
      <c r="E1" s="81" t="s">
        <v>29</v>
      </c>
      <c r="F1" s="81" t="s">
        <v>0</v>
      </c>
      <c r="G1" s="45" t="s">
        <v>30</v>
      </c>
      <c r="H1" s="45" t="s">
        <v>16</v>
      </c>
      <c r="I1" s="45" t="s">
        <v>4</v>
      </c>
      <c r="J1" s="45" t="s">
        <v>31</v>
      </c>
      <c r="K1" s="64" t="s">
        <v>2</v>
      </c>
      <c r="L1" s="67" t="s">
        <v>6</v>
      </c>
      <c r="M1" s="82" t="s">
        <v>32</v>
      </c>
    </row>
    <row r="2" spans="1:13" x14ac:dyDescent="0.25">
      <c r="A2" s="17" t="s">
        <v>17</v>
      </c>
      <c r="B2" s="18">
        <v>49150</v>
      </c>
      <c r="C2" s="18">
        <v>75555</v>
      </c>
      <c r="D2" s="18">
        <v>28759</v>
      </c>
      <c r="E2" s="19">
        <v>6</v>
      </c>
      <c r="F2" s="19">
        <v>0.59</v>
      </c>
      <c r="G2" s="20">
        <v>4.74</v>
      </c>
      <c r="H2" s="21">
        <v>0.38059999999999999</v>
      </c>
      <c r="I2" s="18">
        <v>358359</v>
      </c>
      <c r="J2" s="22">
        <v>6826</v>
      </c>
      <c r="K2" s="3">
        <v>425.1</v>
      </c>
      <c r="L2" s="23">
        <v>1003.59</v>
      </c>
      <c r="M2" s="80">
        <v>0.23735178552800862</v>
      </c>
    </row>
    <row r="3" spans="1:13" x14ac:dyDescent="0.25">
      <c r="A3" s="17" t="s">
        <v>18</v>
      </c>
      <c r="B3" s="18">
        <v>7955</v>
      </c>
      <c r="C3" s="18">
        <v>10903</v>
      </c>
      <c r="D3" s="18">
        <v>7040</v>
      </c>
      <c r="E3" s="19">
        <v>12</v>
      </c>
      <c r="F3" s="19">
        <v>0.88</v>
      </c>
      <c r="G3" s="20">
        <v>5.77</v>
      </c>
      <c r="H3" s="21">
        <v>0.64570000000000005</v>
      </c>
      <c r="I3" s="18">
        <v>62914</v>
      </c>
      <c r="J3" s="22">
        <v>5044</v>
      </c>
      <c r="K3" s="3">
        <v>120.33</v>
      </c>
      <c r="L3" s="23">
        <v>2811.96</v>
      </c>
      <c r="M3" s="80">
        <v>0.71647727272727268</v>
      </c>
    </row>
    <row r="4" spans="1:13" x14ac:dyDescent="0.25">
      <c r="A4" s="17" t="s">
        <v>19</v>
      </c>
      <c r="B4" s="18">
        <v>2120</v>
      </c>
      <c r="C4" s="18">
        <v>2595</v>
      </c>
      <c r="D4" s="18">
        <v>1890</v>
      </c>
      <c r="E4" s="19">
        <v>33</v>
      </c>
      <c r="F4" s="19">
        <v>0.89</v>
      </c>
      <c r="G4" s="20">
        <v>10.39</v>
      </c>
      <c r="H4" s="21">
        <v>0.72829999999999995</v>
      </c>
      <c r="I4" s="18">
        <v>26963</v>
      </c>
      <c r="J4" s="22">
        <v>2120</v>
      </c>
      <c r="K4" s="3">
        <v>76.2</v>
      </c>
      <c r="L4" s="23">
        <v>396.25</v>
      </c>
      <c r="M4" s="80">
        <v>1.1216931216931216</v>
      </c>
    </row>
    <row r="5" spans="1:13" s="132" customFormat="1" x14ac:dyDescent="0.25">
      <c r="A5" s="133" t="s">
        <v>20</v>
      </c>
      <c r="B5" s="134">
        <v>1853</v>
      </c>
      <c r="C5" s="134">
        <v>1760</v>
      </c>
      <c r="D5" s="135">
        <v>0</v>
      </c>
      <c r="E5" s="136">
        <v>13</v>
      </c>
      <c r="F5" s="136">
        <v>0</v>
      </c>
      <c r="G5" s="135">
        <v>68.94</v>
      </c>
      <c r="H5" s="137">
        <v>0</v>
      </c>
      <c r="I5" s="134">
        <v>121337</v>
      </c>
      <c r="J5" s="135">
        <v>371</v>
      </c>
      <c r="K5" s="124">
        <v>9.6999999999999993</v>
      </c>
      <c r="L5" s="138">
        <v>858.01</v>
      </c>
      <c r="M5" s="139">
        <v>0</v>
      </c>
    </row>
    <row r="6" spans="1:13" x14ac:dyDescent="0.25">
      <c r="A6" s="17" t="s">
        <v>21</v>
      </c>
      <c r="B6" s="20">
        <v>681</v>
      </c>
      <c r="C6" s="20">
        <v>883</v>
      </c>
      <c r="D6" s="20">
        <v>233</v>
      </c>
      <c r="E6" s="19">
        <v>1</v>
      </c>
      <c r="F6" s="19">
        <v>0.34</v>
      </c>
      <c r="G6" s="20">
        <v>3.62</v>
      </c>
      <c r="H6" s="21">
        <v>0.26390000000000002</v>
      </c>
      <c r="I6" s="18">
        <v>3193</v>
      </c>
      <c r="J6" s="20">
        <v>145</v>
      </c>
      <c r="K6" s="3">
        <v>3.34</v>
      </c>
      <c r="L6" s="23">
        <v>0</v>
      </c>
      <c r="M6" s="80">
        <v>0.62231759656652363</v>
      </c>
    </row>
    <row r="7" spans="1:13" x14ac:dyDescent="0.25">
      <c r="A7" s="17" t="s">
        <v>22</v>
      </c>
      <c r="B7" s="20">
        <v>440</v>
      </c>
      <c r="C7" s="20">
        <v>488</v>
      </c>
      <c r="D7" s="20">
        <v>301</v>
      </c>
      <c r="E7" s="19">
        <v>9</v>
      </c>
      <c r="F7" s="19">
        <v>0.68</v>
      </c>
      <c r="G7" s="20">
        <v>5.86</v>
      </c>
      <c r="H7" s="21">
        <v>0.61680000000000001</v>
      </c>
      <c r="I7" s="18">
        <v>2860</v>
      </c>
      <c r="J7" s="20">
        <v>193</v>
      </c>
      <c r="K7" s="3">
        <v>11.69</v>
      </c>
      <c r="L7" s="23">
        <v>0</v>
      </c>
      <c r="M7" s="80">
        <v>0.64119601328903653</v>
      </c>
    </row>
    <row r="8" spans="1:13" x14ac:dyDescent="0.25">
      <c r="A8" s="17" t="s">
        <v>23</v>
      </c>
      <c r="B8" s="20">
        <v>98</v>
      </c>
      <c r="C8" s="20">
        <v>110</v>
      </c>
      <c r="D8" s="20">
        <v>106</v>
      </c>
      <c r="E8" s="19">
        <v>23</v>
      </c>
      <c r="F8" s="19">
        <v>1.08</v>
      </c>
      <c r="G8" s="20">
        <v>6.93</v>
      </c>
      <c r="H8" s="21">
        <v>0.96360000000000001</v>
      </c>
      <c r="I8" s="20">
        <v>762</v>
      </c>
      <c r="J8" s="20">
        <v>151</v>
      </c>
      <c r="K8" s="3">
        <v>0</v>
      </c>
      <c r="L8" s="23">
        <v>0</v>
      </c>
      <c r="M8" s="80">
        <v>1.4245283018867925</v>
      </c>
    </row>
    <row r="9" spans="1:13" x14ac:dyDescent="0.25">
      <c r="A9" s="17" t="s">
        <v>24</v>
      </c>
      <c r="B9" s="20">
        <v>13</v>
      </c>
      <c r="C9" s="20">
        <v>14</v>
      </c>
      <c r="D9" s="20">
        <v>1</v>
      </c>
      <c r="E9" s="19">
        <v>6</v>
      </c>
      <c r="F9" s="19">
        <v>0.08</v>
      </c>
      <c r="G9" s="20">
        <v>4.6399999999999997</v>
      </c>
      <c r="H9" s="21">
        <v>7.1400000000000005E-2</v>
      </c>
      <c r="I9" s="20">
        <v>65</v>
      </c>
      <c r="J9" s="20">
        <v>0</v>
      </c>
      <c r="K9" s="3">
        <v>0.05</v>
      </c>
      <c r="L9" s="23">
        <v>0</v>
      </c>
      <c r="M9" s="80">
        <v>0</v>
      </c>
    </row>
    <row r="10" spans="1:13" x14ac:dyDescent="0.25">
      <c r="A10" s="48" t="s">
        <v>25</v>
      </c>
      <c r="B10" s="83">
        <v>6</v>
      </c>
      <c r="C10" s="83">
        <v>6</v>
      </c>
      <c r="D10" s="83">
        <v>0</v>
      </c>
      <c r="E10" s="84">
        <v>0</v>
      </c>
      <c r="F10" s="84">
        <v>0</v>
      </c>
      <c r="G10" s="83">
        <v>4.17</v>
      </c>
      <c r="H10" s="85">
        <v>0</v>
      </c>
      <c r="I10" s="83">
        <v>25</v>
      </c>
      <c r="J10" s="83">
        <v>0</v>
      </c>
      <c r="K10" s="73">
        <v>0</v>
      </c>
      <c r="L10" s="86">
        <v>0</v>
      </c>
      <c r="M10" s="8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AE6F-DC17-42F5-AD60-FFDD5A78B5B7}">
  <dimension ref="A1:J10"/>
  <sheetViews>
    <sheetView workbookViewId="0">
      <selection activeCell="F19" sqref="F19"/>
    </sheetView>
  </sheetViews>
  <sheetFormatPr defaultRowHeight="15" x14ac:dyDescent="0.25"/>
  <cols>
    <col min="1" max="1" width="47.7109375" customWidth="1"/>
    <col min="2" max="2" width="12.7109375" customWidth="1"/>
    <col min="3" max="3" width="16.5703125" customWidth="1"/>
    <col min="4" max="4" width="14" customWidth="1"/>
    <col min="5" max="5" width="36.7109375" customWidth="1"/>
    <col min="6" max="6" width="36.140625" customWidth="1"/>
    <col min="7" max="7" width="21.85546875" customWidth="1"/>
    <col min="8" max="8" width="48.85546875" customWidth="1"/>
    <col min="9" max="9" width="18.85546875" customWidth="1"/>
    <col min="10" max="10" width="50" customWidth="1"/>
  </cols>
  <sheetData>
    <row r="1" spans="1:10" ht="45" customHeight="1" x14ac:dyDescent="0.25">
      <c r="A1" s="45" t="s">
        <v>13</v>
      </c>
      <c r="B1" s="81" t="s">
        <v>2</v>
      </c>
      <c r="C1" s="61" t="s">
        <v>16</v>
      </c>
      <c r="D1" s="88" t="s">
        <v>6</v>
      </c>
      <c r="E1" s="65" t="s">
        <v>7</v>
      </c>
      <c r="F1" s="89" t="s">
        <v>8</v>
      </c>
      <c r="G1" s="67" t="s">
        <v>9</v>
      </c>
      <c r="H1" s="45" t="s">
        <v>10</v>
      </c>
      <c r="I1" s="45" t="s">
        <v>33</v>
      </c>
      <c r="J1" s="82" t="s">
        <v>32</v>
      </c>
    </row>
    <row r="2" spans="1:10" x14ac:dyDescent="0.25">
      <c r="A2" s="17" t="s">
        <v>17</v>
      </c>
      <c r="B2" s="19">
        <v>425.1</v>
      </c>
      <c r="C2" s="15">
        <v>0.3785</v>
      </c>
      <c r="D2" s="23">
        <v>1003.59</v>
      </c>
      <c r="E2" s="7">
        <v>0.23199083169613621</v>
      </c>
      <c r="F2" s="8">
        <v>1.3608327452364148</v>
      </c>
      <c r="G2" s="9">
        <v>0.05</v>
      </c>
      <c r="H2" s="10">
        <v>0.27838899803536343</v>
      </c>
      <c r="I2" s="13">
        <v>1.3919449901768174E-2</v>
      </c>
      <c r="J2" s="80">
        <v>0.23735178552800862</v>
      </c>
    </row>
    <row r="3" spans="1:10" x14ac:dyDescent="0.25">
      <c r="A3" s="17" t="s">
        <v>18</v>
      </c>
      <c r="B3" s="19">
        <v>120.33</v>
      </c>
      <c r="C3" s="15">
        <v>0.67210000000000003</v>
      </c>
      <c r="D3" s="23">
        <v>2811.96</v>
      </c>
      <c r="E3" s="7">
        <v>0.58197910621009863</v>
      </c>
      <c r="F3" s="8">
        <v>22.368735976065821</v>
      </c>
      <c r="G3" s="9">
        <v>0.03</v>
      </c>
      <c r="H3" s="11">
        <v>0.69841546230193274</v>
      </c>
      <c r="I3" s="13">
        <v>2.0952463869057983E-2</v>
      </c>
      <c r="J3" s="80">
        <v>0.71647727272727268</v>
      </c>
    </row>
    <row r="4" spans="1:10" x14ac:dyDescent="0.25">
      <c r="A4" s="17" t="s">
        <v>19</v>
      </c>
      <c r="B4" s="19">
        <v>76.2</v>
      </c>
      <c r="C4" s="15">
        <v>0.72850000000000004</v>
      </c>
      <c r="D4" s="23">
        <v>396.25</v>
      </c>
      <c r="E4" s="7">
        <v>0.98094747682801231</v>
      </c>
      <c r="F4" s="8">
        <v>4.2001312335958003</v>
      </c>
      <c r="G4" s="9">
        <v>0.04</v>
      </c>
      <c r="H4" s="11">
        <v>1.1773794808405438</v>
      </c>
      <c r="I4" s="13">
        <v>4.7095179233621755E-2</v>
      </c>
      <c r="J4" s="80">
        <v>1.1216931216931216</v>
      </c>
    </row>
    <row r="5" spans="1:10" x14ac:dyDescent="0.25">
      <c r="A5" s="17" t="s">
        <v>20</v>
      </c>
      <c r="B5" s="19">
        <v>9.6999999999999993</v>
      </c>
      <c r="C5" s="15">
        <v>0.2263</v>
      </c>
      <c r="D5" s="23">
        <v>858.01</v>
      </c>
      <c r="E5" s="7">
        <v>0.5</v>
      </c>
      <c r="F5" s="8">
        <v>87.454639175257739</v>
      </c>
      <c r="G5" s="9">
        <v>9.9999999999999992E-2</v>
      </c>
      <c r="H5" s="11">
        <v>0.59876543209876543</v>
      </c>
      <c r="I5" s="13">
        <v>5.9876543209876537E-2</v>
      </c>
      <c r="J5" s="80">
        <v>0</v>
      </c>
    </row>
    <row r="6" spans="1:10" x14ac:dyDescent="0.25">
      <c r="A6" s="17" t="s">
        <v>21</v>
      </c>
      <c r="B6" s="19">
        <v>3.34</v>
      </c>
      <c r="C6" s="15">
        <v>0.61399999999999999</v>
      </c>
      <c r="D6" s="23">
        <v>0</v>
      </c>
      <c r="E6" s="7">
        <v>0.52681388012618302</v>
      </c>
      <c r="F6" s="8">
        <v>-1</v>
      </c>
      <c r="G6" s="9">
        <v>0.02</v>
      </c>
      <c r="H6" s="11">
        <v>0.63257575757575757</v>
      </c>
      <c r="I6" s="13">
        <v>1.2651515151515151E-2</v>
      </c>
      <c r="J6" s="80">
        <v>0.62231759656652363</v>
      </c>
    </row>
    <row r="7" spans="1:10" x14ac:dyDescent="0.25">
      <c r="A7" s="17" t="s">
        <v>22</v>
      </c>
      <c r="B7" s="19">
        <v>11.69</v>
      </c>
      <c r="C7" s="15">
        <v>0.89149999999999996</v>
      </c>
      <c r="D7" s="23">
        <v>0</v>
      </c>
      <c r="E7" s="12">
        <v>1.2101449275362319</v>
      </c>
      <c r="F7" s="8">
        <v>-1</v>
      </c>
      <c r="G7" s="9">
        <v>6.9999999999999993E-2</v>
      </c>
      <c r="H7" s="11">
        <v>1.4521739130434783</v>
      </c>
      <c r="I7" s="13">
        <v>0.10165217391304347</v>
      </c>
      <c r="J7" s="80">
        <v>0.64119601328903653</v>
      </c>
    </row>
    <row r="8" spans="1:10" x14ac:dyDescent="0.25">
      <c r="A8" s="17" t="s">
        <v>23</v>
      </c>
      <c r="B8" s="19">
        <v>0</v>
      </c>
      <c r="C8" s="15">
        <v>6.6699999999999995E-2</v>
      </c>
      <c r="D8" s="23">
        <v>0</v>
      </c>
      <c r="E8" s="7">
        <v>0</v>
      </c>
      <c r="F8" s="8">
        <v>0</v>
      </c>
      <c r="G8" s="9">
        <v>0</v>
      </c>
      <c r="H8" s="11">
        <v>0</v>
      </c>
      <c r="I8" s="13">
        <v>0</v>
      </c>
      <c r="J8" s="80">
        <v>1.4245283018867925</v>
      </c>
    </row>
    <row r="9" spans="1:10" x14ac:dyDescent="0.25">
      <c r="A9" s="17" t="s">
        <v>24</v>
      </c>
      <c r="B9" s="19">
        <v>0.05</v>
      </c>
      <c r="C9" s="16">
        <v>0.25</v>
      </c>
      <c r="D9" s="23">
        <v>0</v>
      </c>
      <c r="E9" s="7">
        <v>1</v>
      </c>
      <c r="F9" s="8">
        <v>-1</v>
      </c>
      <c r="G9" s="9">
        <v>0.05</v>
      </c>
      <c r="H9" s="11">
        <v>1</v>
      </c>
      <c r="I9" s="13">
        <v>0.05</v>
      </c>
      <c r="J9" s="80">
        <v>0</v>
      </c>
    </row>
    <row r="10" spans="1:10" x14ac:dyDescent="0.25">
      <c r="A10" s="48" t="s">
        <v>25</v>
      </c>
      <c r="B10" s="84">
        <v>0</v>
      </c>
      <c r="C10" s="71">
        <v>0</v>
      </c>
      <c r="D10" s="86">
        <v>0</v>
      </c>
      <c r="E10" s="75">
        <v>0</v>
      </c>
      <c r="F10" s="76">
        <v>0</v>
      </c>
      <c r="G10" s="77">
        <v>0</v>
      </c>
      <c r="H10" s="78">
        <v>0</v>
      </c>
      <c r="I10" s="90">
        <v>0</v>
      </c>
      <c r="J10" s="8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1AEB-8962-4E88-9575-72E57CDC59AB}">
  <dimension ref="A1:E27"/>
  <sheetViews>
    <sheetView zoomScale="85" zoomScaleNormal="85" workbookViewId="0">
      <selection activeCell="A16" sqref="A16:E20"/>
    </sheetView>
  </sheetViews>
  <sheetFormatPr defaultRowHeight="15" x14ac:dyDescent="0.25"/>
  <cols>
    <col min="1" max="1" width="15.85546875" customWidth="1"/>
    <col min="2" max="2" width="12.42578125" customWidth="1"/>
    <col min="3" max="3" width="14.140625" customWidth="1"/>
    <col min="4" max="4" width="19.42578125" customWidth="1"/>
    <col min="5" max="5" width="15.5703125" customWidth="1"/>
  </cols>
  <sheetData>
    <row r="1" spans="1:5" x14ac:dyDescent="0.25">
      <c r="A1" s="92" t="s">
        <v>34</v>
      </c>
      <c r="B1" s="92" t="s">
        <v>4</v>
      </c>
      <c r="C1" s="92" t="s">
        <v>35</v>
      </c>
      <c r="D1" s="92" t="s">
        <v>36</v>
      </c>
      <c r="E1" s="93" t="s">
        <v>6</v>
      </c>
    </row>
    <row r="2" spans="1:5" x14ac:dyDescent="0.25">
      <c r="A2" s="17" t="s">
        <v>37</v>
      </c>
      <c r="B2" s="18">
        <v>116103</v>
      </c>
      <c r="C2" s="18">
        <v>60820</v>
      </c>
      <c r="D2" s="20">
        <v>1.93</v>
      </c>
      <c r="E2" s="91">
        <v>0</v>
      </c>
    </row>
    <row r="3" spans="1:5" x14ac:dyDescent="0.25">
      <c r="A3" s="17" t="s">
        <v>38</v>
      </c>
      <c r="B3" s="18">
        <v>87590</v>
      </c>
      <c r="C3" s="18">
        <v>60477</v>
      </c>
      <c r="D3" s="20">
        <v>1.46</v>
      </c>
      <c r="E3" s="91">
        <v>0</v>
      </c>
    </row>
    <row r="4" spans="1:5" x14ac:dyDescent="0.25">
      <c r="A4" s="17" t="s">
        <v>39</v>
      </c>
      <c r="B4" s="18">
        <v>75812</v>
      </c>
      <c r="C4" s="18">
        <v>44209</v>
      </c>
      <c r="D4" s="20">
        <v>1.74</v>
      </c>
      <c r="E4" s="91">
        <v>0</v>
      </c>
    </row>
    <row r="5" spans="1:5" x14ac:dyDescent="0.25">
      <c r="A5" s="17" t="s">
        <v>40</v>
      </c>
      <c r="B5" s="18">
        <v>58504</v>
      </c>
      <c r="C5" s="18">
        <v>39555</v>
      </c>
      <c r="D5" s="20">
        <v>54.02</v>
      </c>
      <c r="E5" s="91">
        <v>0</v>
      </c>
    </row>
    <row r="6" spans="1:5" x14ac:dyDescent="0.25">
      <c r="A6" s="17" t="s">
        <v>41</v>
      </c>
      <c r="B6" s="18">
        <v>58504</v>
      </c>
      <c r="C6" s="18">
        <v>39555</v>
      </c>
      <c r="D6" s="20">
        <v>54.02</v>
      </c>
      <c r="E6" s="91">
        <v>0</v>
      </c>
    </row>
    <row r="7" spans="1:5" x14ac:dyDescent="0.25">
      <c r="A7" s="17" t="s">
        <v>42</v>
      </c>
      <c r="B7" s="18">
        <v>56665</v>
      </c>
      <c r="C7" s="18">
        <v>57180</v>
      </c>
      <c r="D7" s="20">
        <v>0.99</v>
      </c>
      <c r="E7" s="91">
        <v>0</v>
      </c>
    </row>
    <row r="8" spans="1:5" x14ac:dyDescent="0.25">
      <c r="A8" s="17" t="s">
        <v>43</v>
      </c>
      <c r="B8" s="18">
        <v>45050</v>
      </c>
      <c r="C8" s="18">
        <v>20145</v>
      </c>
      <c r="D8" s="20">
        <v>2.2400000000000002</v>
      </c>
      <c r="E8" s="91">
        <v>0</v>
      </c>
    </row>
    <row r="9" spans="1:5" x14ac:dyDescent="0.25">
      <c r="A9" s="17" t="s">
        <v>44</v>
      </c>
      <c r="B9" s="18">
        <v>25706</v>
      </c>
      <c r="C9" s="18">
        <v>18798</v>
      </c>
      <c r="D9" s="20">
        <v>1.42</v>
      </c>
      <c r="E9" s="91">
        <v>0</v>
      </c>
    </row>
    <row r="10" spans="1:5" x14ac:dyDescent="0.25">
      <c r="A10" s="17" t="s">
        <v>45</v>
      </c>
      <c r="B10" s="18">
        <v>18713</v>
      </c>
      <c r="C10" s="18">
        <v>18667</v>
      </c>
      <c r="D10" s="20">
        <v>1.04</v>
      </c>
      <c r="E10" s="91">
        <v>0</v>
      </c>
    </row>
    <row r="11" spans="1:5" x14ac:dyDescent="0.25">
      <c r="A11" s="17" t="s">
        <v>46</v>
      </c>
      <c r="B11" s="18">
        <v>13764</v>
      </c>
      <c r="C11" s="18">
        <v>8161</v>
      </c>
      <c r="D11" s="20">
        <v>1.7</v>
      </c>
      <c r="E11" s="91">
        <v>0</v>
      </c>
    </row>
    <row r="12" spans="1:5" x14ac:dyDescent="0.25">
      <c r="A12" s="17" t="s">
        <v>47</v>
      </c>
      <c r="B12" s="18">
        <v>8749</v>
      </c>
      <c r="C12" s="18">
        <v>7005</v>
      </c>
      <c r="D12" s="20">
        <v>1.25</v>
      </c>
      <c r="E12" s="91">
        <v>0</v>
      </c>
    </row>
    <row r="13" spans="1:5" x14ac:dyDescent="0.25">
      <c r="A13" s="17" t="s">
        <v>48</v>
      </c>
      <c r="B13" s="18">
        <v>3030</v>
      </c>
      <c r="C13" s="18">
        <v>1914</v>
      </c>
      <c r="D13" s="20">
        <v>1.58</v>
      </c>
      <c r="E13" s="91">
        <v>0</v>
      </c>
    </row>
    <row r="14" spans="1:5" x14ac:dyDescent="0.25">
      <c r="A14" s="17" t="s">
        <v>49</v>
      </c>
      <c r="B14" s="18">
        <v>2831</v>
      </c>
      <c r="C14" s="18">
        <v>2831</v>
      </c>
      <c r="D14" s="20">
        <v>1.2</v>
      </c>
      <c r="E14" s="91">
        <v>0</v>
      </c>
    </row>
    <row r="15" spans="1:5" x14ac:dyDescent="0.25">
      <c r="A15" s="17" t="s">
        <v>50</v>
      </c>
      <c r="B15" s="18">
        <v>1074</v>
      </c>
      <c r="C15" s="20">
        <v>835</v>
      </c>
      <c r="D15" s="20">
        <v>1.29</v>
      </c>
      <c r="E15" s="91">
        <v>0</v>
      </c>
    </row>
    <row r="16" spans="1:5" x14ac:dyDescent="0.25">
      <c r="A16" s="17" t="s">
        <v>51</v>
      </c>
      <c r="B16" s="18">
        <v>1066</v>
      </c>
      <c r="C16" s="135">
        <v>735</v>
      </c>
      <c r="D16" s="20">
        <v>1.45</v>
      </c>
      <c r="E16" s="91">
        <v>0</v>
      </c>
    </row>
    <row r="17" spans="1:5" x14ac:dyDescent="0.25">
      <c r="A17" s="17" t="s">
        <v>52</v>
      </c>
      <c r="B17" s="20">
        <v>929</v>
      </c>
      <c r="C17" s="20">
        <v>929</v>
      </c>
      <c r="D17" s="20">
        <v>1.02</v>
      </c>
      <c r="E17" s="91">
        <v>0</v>
      </c>
    </row>
    <row r="18" spans="1:5" x14ac:dyDescent="0.25">
      <c r="A18" s="17" t="s">
        <v>53</v>
      </c>
      <c r="B18" s="20">
        <v>830</v>
      </c>
      <c r="C18" s="20">
        <v>631</v>
      </c>
      <c r="D18" s="20">
        <v>1.34</v>
      </c>
      <c r="E18" s="91">
        <v>0</v>
      </c>
    </row>
    <row r="19" spans="1:5" x14ac:dyDescent="0.25">
      <c r="A19" s="17" t="s">
        <v>54</v>
      </c>
      <c r="B19" s="20">
        <v>735</v>
      </c>
      <c r="C19" s="20">
        <v>735</v>
      </c>
      <c r="D19" s="20">
        <v>1</v>
      </c>
      <c r="E19" s="91">
        <v>0</v>
      </c>
    </row>
    <row r="20" spans="1:5" x14ac:dyDescent="0.25">
      <c r="A20" s="17" t="s">
        <v>55</v>
      </c>
      <c r="B20" s="20">
        <v>294</v>
      </c>
      <c r="C20" s="135">
        <v>202</v>
      </c>
      <c r="D20" s="20">
        <v>1.46</v>
      </c>
      <c r="E20" s="91">
        <v>0</v>
      </c>
    </row>
    <row r="21" spans="1:5" x14ac:dyDescent="0.25">
      <c r="A21" s="17" t="s">
        <v>56</v>
      </c>
      <c r="B21" s="20">
        <v>195</v>
      </c>
      <c r="C21" s="20">
        <v>114</v>
      </c>
      <c r="D21" s="20">
        <v>1.71</v>
      </c>
      <c r="E21" s="91">
        <v>0</v>
      </c>
    </row>
    <row r="22" spans="1:5" x14ac:dyDescent="0.25">
      <c r="A22" s="17" t="s">
        <v>57</v>
      </c>
      <c r="B22" s="20">
        <v>136</v>
      </c>
      <c r="C22" s="20">
        <v>108</v>
      </c>
      <c r="D22" s="20">
        <v>1.27</v>
      </c>
      <c r="E22" s="91">
        <v>0</v>
      </c>
    </row>
    <row r="23" spans="1:5" x14ac:dyDescent="0.25">
      <c r="A23" s="17" t="s">
        <v>58</v>
      </c>
      <c r="B23" s="20">
        <v>131</v>
      </c>
      <c r="C23" s="20">
        <v>98</v>
      </c>
      <c r="D23" s="20">
        <v>1.34</v>
      </c>
      <c r="E23" s="91">
        <v>0</v>
      </c>
    </row>
    <row r="24" spans="1:5" x14ac:dyDescent="0.25">
      <c r="A24" s="17" t="s">
        <v>59</v>
      </c>
      <c r="B24" s="20">
        <v>42</v>
      </c>
      <c r="C24" s="20">
        <v>28</v>
      </c>
      <c r="D24" s="20">
        <v>1.62</v>
      </c>
      <c r="E24" s="91">
        <v>0</v>
      </c>
    </row>
    <row r="25" spans="1:5" x14ac:dyDescent="0.25">
      <c r="A25" s="17" t="s">
        <v>60</v>
      </c>
      <c r="B25" s="20">
        <v>18</v>
      </c>
      <c r="C25" s="20">
        <v>18</v>
      </c>
      <c r="D25" s="20">
        <v>1</v>
      </c>
      <c r="E25" s="91">
        <v>5069.8100000000004</v>
      </c>
    </row>
    <row r="26" spans="1:5" x14ac:dyDescent="0.25">
      <c r="A26" s="17" t="s">
        <v>61</v>
      </c>
      <c r="B26" s="20">
        <v>4</v>
      </c>
      <c r="C26" s="20">
        <v>3</v>
      </c>
      <c r="D26" s="20">
        <v>1.33</v>
      </c>
      <c r="E26" s="91">
        <v>0</v>
      </c>
    </row>
    <row r="27" spans="1:5" x14ac:dyDescent="0.25">
      <c r="A27" s="48" t="s">
        <v>62</v>
      </c>
      <c r="B27" s="83">
        <v>3</v>
      </c>
      <c r="C27" s="83">
        <v>3</v>
      </c>
      <c r="D27" s="83">
        <v>1.5</v>
      </c>
      <c r="E27" s="94">
        <v>0</v>
      </c>
    </row>
  </sheetData>
  <conditionalFormatting sqref="A1:A2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C025-DF70-47BE-B15B-40FC0BB0AFF1}">
  <dimension ref="A1:G567"/>
  <sheetViews>
    <sheetView topLeftCell="A6" workbookViewId="0">
      <selection activeCell="A15" sqref="A15"/>
    </sheetView>
  </sheetViews>
  <sheetFormatPr defaultRowHeight="15" x14ac:dyDescent="0.25"/>
  <cols>
    <col min="1" max="1" width="45.7109375" customWidth="1"/>
    <col min="2" max="2" width="13.5703125" customWidth="1"/>
    <col min="3" max="3" width="13" customWidth="1"/>
    <col min="4" max="4" width="15" customWidth="1"/>
    <col min="5" max="5" width="39.85546875" customWidth="1"/>
    <col min="6" max="6" width="13" customWidth="1"/>
    <col min="7" max="7" width="16.7109375" customWidth="1"/>
  </cols>
  <sheetData>
    <row r="1" spans="1:7" ht="58.5" customHeight="1" x14ac:dyDescent="0.25">
      <c r="A1" s="140" t="s">
        <v>63</v>
      </c>
      <c r="B1" s="140" t="s">
        <v>28</v>
      </c>
      <c r="C1" s="140" t="s">
        <v>27</v>
      </c>
      <c r="D1" s="140" t="s">
        <v>14</v>
      </c>
      <c r="E1" s="141" t="s">
        <v>64</v>
      </c>
      <c r="F1" s="142" t="s">
        <v>31</v>
      </c>
      <c r="G1" s="143" t="s">
        <v>6</v>
      </c>
    </row>
    <row r="2" spans="1:7" x14ac:dyDescent="0.25">
      <c r="A2" s="25" t="s">
        <v>65</v>
      </c>
      <c r="B2" s="26">
        <v>67099</v>
      </c>
      <c r="C2" s="26">
        <v>47549</v>
      </c>
      <c r="D2" s="26">
        <v>45029</v>
      </c>
      <c r="E2" s="27">
        <v>7</v>
      </c>
      <c r="F2" s="28">
        <v>2653</v>
      </c>
      <c r="G2" s="95">
        <v>1390.45</v>
      </c>
    </row>
    <row r="3" spans="1:7" x14ac:dyDescent="0.25">
      <c r="A3" s="29" t="s">
        <v>66</v>
      </c>
      <c r="B3" s="30">
        <v>26253</v>
      </c>
      <c r="C3" s="30">
        <v>20762</v>
      </c>
      <c r="D3" s="31">
        <v>3</v>
      </c>
      <c r="E3" s="27">
        <v>0</v>
      </c>
      <c r="F3" s="31">
        <v>118</v>
      </c>
      <c r="G3" s="95">
        <v>0</v>
      </c>
    </row>
    <row r="4" spans="1:7" ht="21.75" customHeight="1" x14ac:dyDescent="0.25">
      <c r="A4" s="100" t="s">
        <v>67</v>
      </c>
      <c r="B4" s="26">
        <v>1925</v>
      </c>
      <c r="C4" s="26">
        <v>1769</v>
      </c>
      <c r="D4" s="26">
        <v>1216</v>
      </c>
      <c r="E4" s="27">
        <v>14</v>
      </c>
      <c r="F4" s="28">
        <v>2646</v>
      </c>
      <c r="G4" s="95">
        <v>0</v>
      </c>
    </row>
    <row r="5" spans="1:7" x14ac:dyDescent="0.25">
      <c r="A5" s="29" t="s">
        <v>68</v>
      </c>
      <c r="B5" s="30">
        <v>1582</v>
      </c>
      <c r="C5" s="30">
        <v>1385</v>
      </c>
      <c r="D5" s="30">
        <v>1225</v>
      </c>
      <c r="E5" s="27">
        <v>6</v>
      </c>
      <c r="F5" s="31">
        <v>44</v>
      </c>
      <c r="G5" s="95">
        <v>0</v>
      </c>
    </row>
    <row r="6" spans="1:7" ht="28.5" customHeight="1" x14ac:dyDescent="0.25">
      <c r="A6" s="25" t="s">
        <v>69</v>
      </c>
      <c r="B6" s="26">
        <v>1064</v>
      </c>
      <c r="C6" s="32">
        <v>985</v>
      </c>
      <c r="D6" s="32">
        <v>797</v>
      </c>
      <c r="E6" s="27">
        <v>8</v>
      </c>
      <c r="F6" s="28">
        <v>1129</v>
      </c>
      <c r="G6" s="95">
        <v>0</v>
      </c>
    </row>
    <row r="7" spans="1:7" x14ac:dyDescent="0.25">
      <c r="A7" s="29" t="s">
        <v>70</v>
      </c>
      <c r="B7" s="31">
        <v>769</v>
      </c>
      <c r="C7" s="31">
        <v>652</v>
      </c>
      <c r="D7" s="31">
        <v>504</v>
      </c>
      <c r="E7" s="27">
        <v>22</v>
      </c>
      <c r="F7" s="31">
        <v>42</v>
      </c>
      <c r="G7" s="95">
        <v>0</v>
      </c>
    </row>
    <row r="8" spans="1:7" ht="13.5" customHeight="1" x14ac:dyDescent="0.25">
      <c r="A8" s="25" t="s">
        <v>71</v>
      </c>
      <c r="B8" s="32">
        <v>735</v>
      </c>
      <c r="C8" s="32">
        <v>700</v>
      </c>
      <c r="D8" s="32">
        <v>398</v>
      </c>
      <c r="E8" s="27">
        <v>25</v>
      </c>
      <c r="F8" s="32">
        <v>30</v>
      </c>
      <c r="G8" s="95">
        <v>0</v>
      </c>
    </row>
    <row r="9" spans="1:7" ht="12" customHeight="1" x14ac:dyDescent="0.25">
      <c r="A9" s="29" t="s">
        <v>72</v>
      </c>
      <c r="B9" s="31">
        <v>578</v>
      </c>
      <c r="C9" s="31">
        <v>452</v>
      </c>
      <c r="D9" s="31">
        <v>224</v>
      </c>
      <c r="E9" s="27">
        <v>21</v>
      </c>
      <c r="F9" s="31">
        <v>81</v>
      </c>
      <c r="G9" s="95">
        <v>307.83</v>
      </c>
    </row>
    <row r="10" spans="1:7" x14ac:dyDescent="0.25">
      <c r="A10" s="25" t="s">
        <v>73</v>
      </c>
      <c r="B10" s="32">
        <v>545</v>
      </c>
      <c r="C10" s="32">
        <v>479</v>
      </c>
      <c r="D10" s="32">
        <v>398</v>
      </c>
      <c r="E10" s="27">
        <v>9</v>
      </c>
      <c r="F10" s="32">
        <v>19</v>
      </c>
      <c r="G10" s="95">
        <v>0</v>
      </c>
    </row>
    <row r="11" spans="1:7" x14ac:dyDescent="0.25">
      <c r="A11" s="29" t="s">
        <v>74</v>
      </c>
      <c r="B11" s="31">
        <v>504</v>
      </c>
      <c r="C11" s="31">
        <v>457</v>
      </c>
      <c r="D11" s="31">
        <v>417</v>
      </c>
      <c r="E11" s="27">
        <v>17</v>
      </c>
      <c r="F11" s="31">
        <v>37</v>
      </c>
      <c r="G11" s="95">
        <v>0</v>
      </c>
    </row>
    <row r="12" spans="1:7" ht="30" x14ac:dyDescent="0.25">
      <c r="A12" s="25" t="s">
        <v>75</v>
      </c>
      <c r="B12" s="32">
        <v>384</v>
      </c>
      <c r="C12" s="32">
        <v>330</v>
      </c>
      <c r="D12" s="32">
        <v>281</v>
      </c>
      <c r="E12" s="27">
        <v>13</v>
      </c>
      <c r="F12" s="32">
        <v>524</v>
      </c>
      <c r="G12" s="95">
        <v>0</v>
      </c>
    </row>
    <row r="13" spans="1:7" x14ac:dyDescent="0.25">
      <c r="A13" s="29" t="s">
        <v>76</v>
      </c>
      <c r="B13" s="31">
        <v>357</v>
      </c>
      <c r="C13" s="31">
        <v>302</v>
      </c>
      <c r="D13" s="31">
        <v>212</v>
      </c>
      <c r="E13" s="27">
        <v>14</v>
      </c>
      <c r="F13" s="31">
        <v>50</v>
      </c>
      <c r="G13" s="95">
        <v>0</v>
      </c>
    </row>
    <row r="14" spans="1:7" x14ac:dyDescent="0.25">
      <c r="A14" s="25" t="s">
        <v>77</v>
      </c>
      <c r="B14" s="32">
        <v>322</v>
      </c>
      <c r="C14" s="32">
        <v>268</v>
      </c>
      <c r="D14" s="32">
        <v>251</v>
      </c>
      <c r="E14" s="27">
        <v>10</v>
      </c>
      <c r="F14" s="32">
        <v>6</v>
      </c>
      <c r="G14" s="95">
        <v>0</v>
      </c>
    </row>
    <row r="15" spans="1:7" x14ac:dyDescent="0.25">
      <c r="A15" s="29" t="s">
        <v>78</v>
      </c>
      <c r="B15" s="31">
        <v>312</v>
      </c>
      <c r="C15" s="31">
        <v>207</v>
      </c>
      <c r="D15" s="31">
        <v>44</v>
      </c>
      <c r="E15" s="27">
        <v>9</v>
      </c>
      <c r="F15" s="31">
        <v>16</v>
      </c>
      <c r="G15" s="95">
        <v>296.3</v>
      </c>
    </row>
    <row r="16" spans="1:7" x14ac:dyDescent="0.25">
      <c r="A16" s="25" t="s">
        <v>79</v>
      </c>
      <c r="B16" s="32">
        <v>302</v>
      </c>
      <c r="C16" s="32">
        <v>182</v>
      </c>
      <c r="D16" s="32">
        <v>55</v>
      </c>
      <c r="E16" s="27">
        <v>10</v>
      </c>
      <c r="F16" s="32">
        <v>13</v>
      </c>
      <c r="G16" s="95">
        <v>0</v>
      </c>
    </row>
    <row r="17" spans="1:7" x14ac:dyDescent="0.25">
      <c r="A17" s="29" t="s">
        <v>80</v>
      </c>
      <c r="B17" s="31">
        <v>299</v>
      </c>
      <c r="C17" s="31">
        <v>224</v>
      </c>
      <c r="D17" s="31">
        <v>83</v>
      </c>
      <c r="E17" s="27">
        <v>22</v>
      </c>
      <c r="F17" s="31">
        <v>31</v>
      </c>
      <c r="G17" s="95">
        <v>0</v>
      </c>
    </row>
    <row r="18" spans="1:7" ht="30" x14ac:dyDescent="0.25">
      <c r="A18" s="25" t="s">
        <v>81</v>
      </c>
      <c r="B18" s="32">
        <v>272</v>
      </c>
      <c r="C18" s="32">
        <v>269</v>
      </c>
      <c r="D18" s="32">
        <v>266</v>
      </c>
      <c r="E18" s="27">
        <v>3</v>
      </c>
      <c r="F18" s="32">
        <v>192</v>
      </c>
      <c r="G18" s="95">
        <v>0</v>
      </c>
    </row>
    <row r="19" spans="1:7" ht="30" x14ac:dyDescent="0.25">
      <c r="A19" s="29" t="s">
        <v>82</v>
      </c>
      <c r="B19" s="31">
        <v>262</v>
      </c>
      <c r="C19" s="31">
        <v>239</v>
      </c>
      <c r="D19" s="31">
        <v>220</v>
      </c>
      <c r="E19" s="27">
        <v>11</v>
      </c>
      <c r="F19" s="31">
        <v>302</v>
      </c>
      <c r="G19" s="95">
        <v>0</v>
      </c>
    </row>
    <row r="20" spans="1:7" ht="30" x14ac:dyDescent="0.25">
      <c r="A20" s="25" t="s">
        <v>83</v>
      </c>
      <c r="B20" s="32">
        <v>261</v>
      </c>
      <c r="C20" s="32">
        <v>191</v>
      </c>
      <c r="D20" s="32">
        <v>191</v>
      </c>
      <c r="E20" s="27">
        <v>1</v>
      </c>
      <c r="F20" s="32">
        <v>318</v>
      </c>
      <c r="G20" s="95">
        <v>0</v>
      </c>
    </row>
    <row r="21" spans="1:7" x14ac:dyDescent="0.25">
      <c r="A21" s="29" t="s">
        <v>84</v>
      </c>
      <c r="B21" s="31">
        <v>259</v>
      </c>
      <c r="C21" s="31">
        <v>189</v>
      </c>
      <c r="D21" s="31">
        <v>106</v>
      </c>
      <c r="E21" s="27">
        <v>14</v>
      </c>
      <c r="F21" s="31">
        <v>11</v>
      </c>
      <c r="G21" s="95">
        <v>0</v>
      </c>
    </row>
    <row r="22" spans="1:7" ht="30" x14ac:dyDescent="0.25">
      <c r="A22" s="25" t="s">
        <v>85</v>
      </c>
      <c r="B22" s="32">
        <v>235</v>
      </c>
      <c r="C22" s="32">
        <v>217</v>
      </c>
      <c r="D22" s="32">
        <v>205</v>
      </c>
      <c r="E22" s="27">
        <v>13</v>
      </c>
      <c r="F22" s="32">
        <v>258</v>
      </c>
      <c r="G22" s="95">
        <v>0</v>
      </c>
    </row>
    <row r="23" spans="1:7" ht="30" x14ac:dyDescent="0.25">
      <c r="A23" s="29" t="s">
        <v>86</v>
      </c>
      <c r="B23" s="31">
        <v>221</v>
      </c>
      <c r="C23" s="31">
        <v>179</v>
      </c>
      <c r="D23" s="31">
        <v>124</v>
      </c>
      <c r="E23" s="27">
        <v>9</v>
      </c>
      <c r="F23" s="31">
        <v>265</v>
      </c>
      <c r="G23" s="95">
        <v>0</v>
      </c>
    </row>
    <row r="24" spans="1:7" x14ac:dyDescent="0.25">
      <c r="A24" s="25" t="s">
        <v>87</v>
      </c>
      <c r="B24" s="32">
        <v>215</v>
      </c>
      <c r="C24" s="32">
        <v>172</v>
      </c>
      <c r="D24" s="32">
        <v>164</v>
      </c>
      <c r="E24" s="27">
        <v>8</v>
      </c>
      <c r="F24" s="32">
        <v>0</v>
      </c>
      <c r="G24" s="95">
        <v>0</v>
      </c>
    </row>
    <row r="25" spans="1:7" ht="30" x14ac:dyDescent="0.25">
      <c r="A25" s="29" t="s">
        <v>88</v>
      </c>
      <c r="B25" s="31">
        <v>179</v>
      </c>
      <c r="C25" s="31">
        <v>175</v>
      </c>
      <c r="D25" s="31">
        <v>163</v>
      </c>
      <c r="E25" s="27">
        <v>7</v>
      </c>
      <c r="F25" s="31">
        <v>188</v>
      </c>
      <c r="G25" s="95">
        <v>0</v>
      </c>
    </row>
    <row r="26" spans="1:7" ht="30" x14ac:dyDescent="0.25">
      <c r="A26" s="25" t="s">
        <v>89</v>
      </c>
      <c r="B26" s="32">
        <v>164</v>
      </c>
      <c r="C26" s="32">
        <v>155</v>
      </c>
      <c r="D26" s="32">
        <v>143</v>
      </c>
      <c r="E26" s="27">
        <v>6</v>
      </c>
      <c r="F26" s="32">
        <v>174</v>
      </c>
      <c r="G26" s="95">
        <v>0</v>
      </c>
    </row>
    <row r="27" spans="1:7" x14ac:dyDescent="0.25">
      <c r="A27" s="29" t="s">
        <v>90</v>
      </c>
      <c r="B27" s="31">
        <v>141</v>
      </c>
      <c r="C27" s="31">
        <v>117</v>
      </c>
      <c r="D27" s="31">
        <v>94</v>
      </c>
      <c r="E27" s="27">
        <v>13</v>
      </c>
      <c r="F27" s="31">
        <v>8</v>
      </c>
      <c r="G27" s="95">
        <v>0</v>
      </c>
    </row>
    <row r="28" spans="1:7" x14ac:dyDescent="0.25">
      <c r="A28" s="25" t="s">
        <v>91</v>
      </c>
      <c r="B28" s="32">
        <v>140</v>
      </c>
      <c r="C28" s="32">
        <v>118</v>
      </c>
      <c r="D28" s="32">
        <v>64</v>
      </c>
      <c r="E28" s="27">
        <v>19</v>
      </c>
      <c r="F28" s="32">
        <v>13</v>
      </c>
      <c r="G28" s="95">
        <v>0</v>
      </c>
    </row>
    <row r="29" spans="1:7" x14ac:dyDescent="0.25">
      <c r="A29" s="29" t="s">
        <v>92</v>
      </c>
      <c r="B29" s="31">
        <v>138</v>
      </c>
      <c r="C29" s="31">
        <v>112</v>
      </c>
      <c r="D29" s="31">
        <v>76</v>
      </c>
      <c r="E29" s="27">
        <v>19</v>
      </c>
      <c r="F29" s="31">
        <v>8</v>
      </c>
      <c r="G29" s="95">
        <v>0</v>
      </c>
    </row>
    <row r="30" spans="1:7" x14ac:dyDescent="0.25">
      <c r="A30" s="25" t="s">
        <v>93</v>
      </c>
      <c r="B30" s="32">
        <v>131</v>
      </c>
      <c r="C30" s="32">
        <v>127</v>
      </c>
      <c r="D30" s="32">
        <v>120</v>
      </c>
      <c r="E30" s="27">
        <v>9</v>
      </c>
      <c r="F30" s="32">
        <v>141</v>
      </c>
      <c r="G30" s="95">
        <v>0</v>
      </c>
    </row>
    <row r="31" spans="1:7" x14ac:dyDescent="0.25">
      <c r="A31" s="29" t="s">
        <v>94</v>
      </c>
      <c r="B31" s="31">
        <v>119</v>
      </c>
      <c r="C31" s="31">
        <v>84</v>
      </c>
      <c r="D31" s="31">
        <v>73</v>
      </c>
      <c r="E31" s="27">
        <v>0</v>
      </c>
      <c r="F31" s="31">
        <v>0</v>
      </c>
      <c r="G31" s="95">
        <v>0</v>
      </c>
    </row>
    <row r="32" spans="1:7" x14ac:dyDescent="0.25">
      <c r="A32" s="25" t="s">
        <v>95</v>
      </c>
      <c r="B32" s="32">
        <v>112</v>
      </c>
      <c r="C32" s="32">
        <v>99</v>
      </c>
      <c r="D32" s="32">
        <v>84</v>
      </c>
      <c r="E32" s="27">
        <v>7</v>
      </c>
      <c r="F32" s="32">
        <v>8</v>
      </c>
      <c r="G32" s="95">
        <v>0</v>
      </c>
    </row>
    <row r="33" spans="1:7" ht="30" x14ac:dyDescent="0.25">
      <c r="A33" s="29" t="s">
        <v>96</v>
      </c>
      <c r="B33" s="31">
        <v>102</v>
      </c>
      <c r="C33" s="31">
        <v>60</v>
      </c>
      <c r="D33" s="31">
        <v>42</v>
      </c>
      <c r="E33" s="27">
        <v>7</v>
      </c>
      <c r="F33" s="31">
        <v>130</v>
      </c>
      <c r="G33" s="95">
        <v>0</v>
      </c>
    </row>
    <row r="34" spans="1:7" x14ac:dyDescent="0.25">
      <c r="A34" s="25" t="s">
        <v>97</v>
      </c>
      <c r="B34" s="32">
        <v>101</v>
      </c>
      <c r="C34" s="32">
        <v>68</v>
      </c>
      <c r="D34" s="32">
        <v>41</v>
      </c>
      <c r="E34" s="27">
        <v>4</v>
      </c>
      <c r="F34" s="32">
        <v>1</v>
      </c>
      <c r="G34" s="95">
        <v>0</v>
      </c>
    </row>
    <row r="35" spans="1:7" x14ac:dyDescent="0.25">
      <c r="A35" s="29" t="s">
        <v>98</v>
      </c>
      <c r="B35" s="31">
        <v>97</v>
      </c>
      <c r="C35" s="31">
        <v>68</v>
      </c>
      <c r="D35" s="31">
        <v>17</v>
      </c>
      <c r="E35" s="27">
        <v>8</v>
      </c>
      <c r="F35" s="31">
        <v>13</v>
      </c>
      <c r="G35" s="95">
        <v>2811.96</v>
      </c>
    </row>
    <row r="36" spans="1:7" x14ac:dyDescent="0.25">
      <c r="A36" s="25" t="s">
        <v>99</v>
      </c>
      <c r="B36" s="32">
        <v>97</v>
      </c>
      <c r="C36" s="32">
        <v>76</v>
      </c>
      <c r="D36" s="32">
        <v>67</v>
      </c>
      <c r="E36" s="27">
        <v>20</v>
      </c>
      <c r="F36" s="32">
        <v>4</v>
      </c>
      <c r="G36" s="95">
        <v>0</v>
      </c>
    </row>
    <row r="37" spans="1:7" x14ac:dyDescent="0.25">
      <c r="A37" s="29" t="s">
        <v>100</v>
      </c>
      <c r="B37" s="31">
        <v>94</v>
      </c>
      <c r="C37" s="31">
        <v>67</v>
      </c>
      <c r="D37" s="31">
        <v>34</v>
      </c>
      <c r="E37" s="27">
        <v>17</v>
      </c>
      <c r="F37" s="31">
        <v>6</v>
      </c>
      <c r="G37" s="95">
        <v>0</v>
      </c>
    </row>
    <row r="38" spans="1:7" ht="30" x14ac:dyDescent="0.25">
      <c r="A38" s="25" t="s">
        <v>101</v>
      </c>
      <c r="B38" s="32">
        <v>92</v>
      </c>
      <c r="C38" s="32">
        <v>72</v>
      </c>
      <c r="D38" s="32">
        <v>59</v>
      </c>
      <c r="E38" s="27">
        <v>7</v>
      </c>
      <c r="F38" s="32">
        <v>115</v>
      </c>
      <c r="G38" s="95">
        <v>0</v>
      </c>
    </row>
    <row r="39" spans="1:7" ht="30" x14ac:dyDescent="0.25">
      <c r="A39" s="29" t="s">
        <v>102</v>
      </c>
      <c r="B39" s="31">
        <v>90</v>
      </c>
      <c r="C39" s="31">
        <v>81</v>
      </c>
      <c r="D39" s="31">
        <v>67</v>
      </c>
      <c r="E39" s="27">
        <v>10</v>
      </c>
      <c r="F39" s="31">
        <v>115</v>
      </c>
      <c r="G39" s="95">
        <v>0</v>
      </c>
    </row>
    <row r="40" spans="1:7" x14ac:dyDescent="0.25">
      <c r="A40" s="25" t="s">
        <v>103</v>
      </c>
      <c r="B40" s="32">
        <v>84</v>
      </c>
      <c r="C40" s="32">
        <v>56</v>
      </c>
      <c r="D40" s="32">
        <v>9</v>
      </c>
      <c r="E40" s="27">
        <v>5</v>
      </c>
      <c r="F40" s="32">
        <v>5</v>
      </c>
      <c r="G40" s="95">
        <v>0</v>
      </c>
    </row>
    <row r="41" spans="1:7" x14ac:dyDescent="0.25">
      <c r="A41" s="29" t="s">
        <v>104</v>
      </c>
      <c r="B41" s="31">
        <v>82</v>
      </c>
      <c r="C41" s="31">
        <v>68</v>
      </c>
      <c r="D41" s="31">
        <v>37</v>
      </c>
      <c r="E41" s="27">
        <v>12</v>
      </c>
      <c r="F41" s="31">
        <v>0</v>
      </c>
      <c r="G41" s="95">
        <v>0</v>
      </c>
    </row>
    <row r="42" spans="1:7" x14ac:dyDescent="0.25">
      <c r="A42" s="25" t="s">
        <v>105</v>
      </c>
      <c r="B42" s="32">
        <v>80</v>
      </c>
      <c r="C42" s="32">
        <v>50</v>
      </c>
      <c r="D42" s="32">
        <v>21</v>
      </c>
      <c r="E42" s="27">
        <v>7</v>
      </c>
      <c r="F42" s="32">
        <v>8</v>
      </c>
      <c r="G42" s="95">
        <v>0</v>
      </c>
    </row>
    <row r="43" spans="1:7" x14ac:dyDescent="0.25">
      <c r="A43" s="29" t="s">
        <v>106</v>
      </c>
      <c r="B43" s="31">
        <v>78</v>
      </c>
      <c r="C43" s="31">
        <v>60</v>
      </c>
      <c r="D43" s="31">
        <v>39</v>
      </c>
      <c r="E43" s="27">
        <v>0</v>
      </c>
      <c r="F43" s="31">
        <v>0</v>
      </c>
      <c r="G43" s="95">
        <v>0</v>
      </c>
    </row>
    <row r="44" spans="1:7" ht="30" x14ac:dyDescent="0.25">
      <c r="A44" s="25" t="s">
        <v>107</v>
      </c>
      <c r="B44" s="32">
        <v>76</v>
      </c>
      <c r="C44" s="32">
        <v>69</v>
      </c>
      <c r="D44" s="32">
        <v>60</v>
      </c>
      <c r="E44" s="27">
        <v>9</v>
      </c>
      <c r="F44" s="32">
        <v>109</v>
      </c>
      <c r="G44" s="95">
        <v>0</v>
      </c>
    </row>
    <row r="45" spans="1:7" ht="30" x14ac:dyDescent="0.25">
      <c r="A45" s="29" t="s">
        <v>108</v>
      </c>
      <c r="B45" s="31">
        <v>73</v>
      </c>
      <c r="C45" s="31">
        <v>72</v>
      </c>
      <c r="D45" s="31">
        <v>70</v>
      </c>
      <c r="E45" s="27">
        <v>4</v>
      </c>
      <c r="F45" s="31">
        <v>0</v>
      </c>
      <c r="G45" s="95">
        <v>0</v>
      </c>
    </row>
    <row r="46" spans="1:7" ht="30" x14ac:dyDescent="0.25">
      <c r="A46" s="25" t="s">
        <v>109</v>
      </c>
      <c r="B46" s="32">
        <v>72</v>
      </c>
      <c r="C46" s="32">
        <v>71</v>
      </c>
      <c r="D46" s="32">
        <v>44</v>
      </c>
      <c r="E46" s="27">
        <v>13</v>
      </c>
      <c r="F46" s="32">
        <v>0</v>
      </c>
      <c r="G46" s="95">
        <v>0</v>
      </c>
    </row>
    <row r="47" spans="1:7" x14ac:dyDescent="0.25">
      <c r="A47" s="29" t="s">
        <v>110</v>
      </c>
      <c r="B47" s="31">
        <v>69</v>
      </c>
      <c r="C47" s="31">
        <v>34</v>
      </c>
      <c r="D47" s="31">
        <v>9</v>
      </c>
      <c r="E47" s="27">
        <v>14</v>
      </c>
      <c r="F47" s="31">
        <v>3</v>
      </c>
      <c r="G47" s="95">
        <v>0</v>
      </c>
    </row>
    <row r="48" spans="1:7" ht="30" x14ac:dyDescent="0.25">
      <c r="A48" s="25" t="s">
        <v>111</v>
      </c>
      <c r="B48" s="32">
        <v>65</v>
      </c>
      <c r="C48" s="32">
        <v>60</v>
      </c>
      <c r="D48" s="32">
        <v>54</v>
      </c>
      <c r="E48" s="27">
        <v>11</v>
      </c>
      <c r="F48" s="32">
        <v>75</v>
      </c>
      <c r="G48" s="95">
        <v>0</v>
      </c>
    </row>
    <row r="49" spans="1:7" ht="30" x14ac:dyDescent="0.25">
      <c r="A49" s="29" t="s">
        <v>112</v>
      </c>
      <c r="B49" s="31">
        <v>63</v>
      </c>
      <c r="C49" s="31">
        <v>57</v>
      </c>
      <c r="D49" s="31">
        <v>53</v>
      </c>
      <c r="E49" s="27">
        <v>8</v>
      </c>
      <c r="F49" s="31">
        <v>80</v>
      </c>
      <c r="G49" s="95">
        <v>0</v>
      </c>
    </row>
    <row r="50" spans="1:7" x14ac:dyDescent="0.25">
      <c r="A50" s="25" t="s">
        <v>113</v>
      </c>
      <c r="B50" s="32">
        <v>62</v>
      </c>
      <c r="C50" s="32">
        <v>53</v>
      </c>
      <c r="D50" s="32">
        <v>53</v>
      </c>
      <c r="E50" s="27">
        <v>9</v>
      </c>
      <c r="F50" s="32">
        <v>4</v>
      </c>
      <c r="G50" s="95">
        <v>0</v>
      </c>
    </row>
    <row r="51" spans="1:7" x14ac:dyDescent="0.25">
      <c r="A51" s="29" t="s">
        <v>114</v>
      </c>
      <c r="B51" s="31">
        <v>61</v>
      </c>
      <c r="C51" s="31">
        <v>52</v>
      </c>
      <c r="D51" s="31">
        <v>50</v>
      </c>
      <c r="E51" s="27">
        <v>1</v>
      </c>
      <c r="F51" s="31">
        <v>0</v>
      </c>
      <c r="G51" s="95">
        <v>0</v>
      </c>
    </row>
    <row r="52" spans="1:7" ht="30" x14ac:dyDescent="0.25">
      <c r="A52" s="25" t="s">
        <v>115</v>
      </c>
      <c r="B52" s="32">
        <v>59</v>
      </c>
      <c r="C52" s="32">
        <v>48</v>
      </c>
      <c r="D52" s="32">
        <v>45</v>
      </c>
      <c r="E52" s="27">
        <v>7</v>
      </c>
      <c r="F52" s="32">
        <v>74</v>
      </c>
      <c r="G52" s="95">
        <v>0</v>
      </c>
    </row>
    <row r="53" spans="1:7" ht="30" x14ac:dyDescent="0.25">
      <c r="A53" s="29" t="s">
        <v>116</v>
      </c>
      <c r="B53" s="31">
        <v>58</v>
      </c>
      <c r="C53" s="31">
        <v>49</v>
      </c>
      <c r="D53" s="31">
        <v>38</v>
      </c>
      <c r="E53" s="27">
        <v>11</v>
      </c>
      <c r="F53" s="31">
        <v>82</v>
      </c>
      <c r="G53" s="95">
        <v>0</v>
      </c>
    </row>
    <row r="54" spans="1:7" ht="30" x14ac:dyDescent="0.25">
      <c r="A54" s="25" t="s">
        <v>117</v>
      </c>
      <c r="B54" s="32">
        <v>56</v>
      </c>
      <c r="C54" s="32">
        <v>42</v>
      </c>
      <c r="D54" s="32">
        <v>36</v>
      </c>
      <c r="E54" s="27">
        <v>9</v>
      </c>
      <c r="F54" s="32">
        <v>74</v>
      </c>
      <c r="G54" s="95">
        <v>0</v>
      </c>
    </row>
    <row r="55" spans="1:7" ht="30" x14ac:dyDescent="0.25">
      <c r="A55" s="29" t="s">
        <v>118</v>
      </c>
      <c r="B55" s="31">
        <v>55</v>
      </c>
      <c r="C55" s="31">
        <v>54</v>
      </c>
      <c r="D55" s="31">
        <v>54</v>
      </c>
      <c r="E55" s="27">
        <v>5</v>
      </c>
      <c r="F55" s="31">
        <v>55</v>
      </c>
      <c r="G55" s="95">
        <v>0</v>
      </c>
    </row>
    <row r="56" spans="1:7" ht="30" x14ac:dyDescent="0.25">
      <c r="A56" s="25" t="s">
        <v>119</v>
      </c>
      <c r="B56" s="32">
        <v>55</v>
      </c>
      <c r="C56" s="32">
        <v>43</v>
      </c>
      <c r="D56" s="32">
        <v>31</v>
      </c>
      <c r="E56" s="27">
        <v>8</v>
      </c>
      <c r="F56" s="32">
        <v>61</v>
      </c>
      <c r="G56" s="95">
        <v>0</v>
      </c>
    </row>
    <row r="57" spans="1:7" x14ac:dyDescent="0.25">
      <c r="A57" s="29" t="s">
        <v>120</v>
      </c>
      <c r="B57" s="31">
        <v>55</v>
      </c>
      <c r="C57" s="31">
        <v>49</v>
      </c>
      <c r="D57" s="31">
        <v>34</v>
      </c>
      <c r="E57" s="27">
        <v>10</v>
      </c>
      <c r="F57" s="31">
        <v>2</v>
      </c>
      <c r="G57" s="95">
        <v>0</v>
      </c>
    </row>
    <row r="58" spans="1:7" ht="30" x14ac:dyDescent="0.25">
      <c r="A58" s="25" t="s">
        <v>121</v>
      </c>
      <c r="B58" s="32">
        <v>53</v>
      </c>
      <c r="C58" s="32">
        <v>48</v>
      </c>
      <c r="D58" s="32">
        <v>46</v>
      </c>
      <c r="E58" s="27">
        <v>9</v>
      </c>
      <c r="F58" s="32">
        <v>71</v>
      </c>
      <c r="G58" s="95">
        <v>0</v>
      </c>
    </row>
    <row r="59" spans="1:7" ht="30" x14ac:dyDescent="0.25">
      <c r="A59" s="29" t="s">
        <v>122</v>
      </c>
      <c r="B59" s="31">
        <v>53</v>
      </c>
      <c r="C59" s="31">
        <v>41</v>
      </c>
      <c r="D59" s="31">
        <v>30</v>
      </c>
      <c r="E59" s="27">
        <v>21</v>
      </c>
      <c r="F59" s="31">
        <v>88</v>
      </c>
      <c r="G59" s="95">
        <v>0</v>
      </c>
    </row>
    <row r="60" spans="1:7" ht="30" x14ac:dyDescent="0.25">
      <c r="A60" s="25" t="s">
        <v>123</v>
      </c>
      <c r="B60" s="32">
        <v>52</v>
      </c>
      <c r="C60" s="32">
        <v>37</v>
      </c>
      <c r="D60" s="32">
        <v>19</v>
      </c>
      <c r="E60" s="27">
        <v>13</v>
      </c>
      <c r="F60" s="32">
        <v>79</v>
      </c>
      <c r="G60" s="95">
        <v>0</v>
      </c>
    </row>
    <row r="61" spans="1:7" ht="30" x14ac:dyDescent="0.25">
      <c r="A61" s="29" t="s">
        <v>124</v>
      </c>
      <c r="B61" s="31">
        <v>51</v>
      </c>
      <c r="C61" s="31">
        <v>51</v>
      </c>
      <c r="D61" s="31">
        <v>47</v>
      </c>
      <c r="E61" s="27">
        <v>13</v>
      </c>
      <c r="F61" s="31">
        <v>65</v>
      </c>
      <c r="G61" s="95">
        <v>0</v>
      </c>
    </row>
    <row r="62" spans="1:7" ht="30" x14ac:dyDescent="0.25">
      <c r="A62" s="25" t="s">
        <v>125</v>
      </c>
      <c r="B62" s="32">
        <v>50</v>
      </c>
      <c r="C62" s="32">
        <v>41</v>
      </c>
      <c r="D62" s="32">
        <v>29</v>
      </c>
      <c r="E62" s="27">
        <v>8</v>
      </c>
      <c r="F62" s="32">
        <v>65</v>
      </c>
      <c r="G62" s="95">
        <v>0</v>
      </c>
    </row>
    <row r="63" spans="1:7" ht="30" x14ac:dyDescent="0.25">
      <c r="A63" s="29" t="s">
        <v>126</v>
      </c>
      <c r="B63" s="31">
        <v>50</v>
      </c>
      <c r="C63" s="31">
        <v>48</v>
      </c>
      <c r="D63" s="31">
        <v>27</v>
      </c>
      <c r="E63" s="27">
        <v>10</v>
      </c>
      <c r="F63" s="31">
        <v>58</v>
      </c>
      <c r="G63" s="95">
        <v>0</v>
      </c>
    </row>
    <row r="64" spans="1:7" x14ac:dyDescent="0.25">
      <c r="A64" s="25" t="s">
        <v>127</v>
      </c>
      <c r="B64" s="32">
        <v>50</v>
      </c>
      <c r="C64" s="32">
        <v>46</v>
      </c>
      <c r="D64" s="32">
        <v>43</v>
      </c>
      <c r="E64" s="27">
        <v>10</v>
      </c>
      <c r="F64" s="32">
        <v>1</v>
      </c>
      <c r="G64" s="95">
        <v>0</v>
      </c>
    </row>
    <row r="65" spans="1:7" ht="30" x14ac:dyDescent="0.25">
      <c r="A65" s="29" t="s">
        <v>128</v>
      </c>
      <c r="B65" s="31">
        <v>49</v>
      </c>
      <c r="C65" s="31">
        <v>45</v>
      </c>
      <c r="D65" s="31">
        <v>39</v>
      </c>
      <c r="E65" s="27">
        <v>6</v>
      </c>
      <c r="F65" s="31">
        <v>61</v>
      </c>
      <c r="G65" s="95">
        <v>0</v>
      </c>
    </row>
    <row r="66" spans="1:7" ht="30" x14ac:dyDescent="0.25">
      <c r="A66" s="25" t="s">
        <v>129</v>
      </c>
      <c r="B66" s="32">
        <v>48</v>
      </c>
      <c r="C66" s="32">
        <v>45</v>
      </c>
      <c r="D66" s="32">
        <v>42</v>
      </c>
      <c r="E66" s="27">
        <v>12</v>
      </c>
      <c r="F66" s="32">
        <v>74</v>
      </c>
      <c r="G66" s="95">
        <v>0</v>
      </c>
    </row>
    <row r="67" spans="1:7" x14ac:dyDescent="0.25">
      <c r="A67" s="29" t="s">
        <v>130</v>
      </c>
      <c r="B67" s="31">
        <v>48</v>
      </c>
      <c r="C67" s="31">
        <v>31</v>
      </c>
      <c r="D67" s="31">
        <v>12</v>
      </c>
      <c r="E67" s="27">
        <v>4</v>
      </c>
      <c r="F67" s="31">
        <v>7</v>
      </c>
      <c r="G67" s="95">
        <v>0</v>
      </c>
    </row>
    <row r="68" spans="1:7" ht="30" x14ac:dyDescent="0.25">
      <c r="A68" s="25" t="s">
        <v>131</v>
      </c>
      <c r="B68" s="32">
        <v>46</v>
      </c>
      <c r="C68" s="32">
        <v>15</v>
      </c>
      <c r="D68" s="32">
        <v>5</v>
      </c>
      <c r="E68" s="27">
        <v>5</v>
      </c>
      <c r="F68" s="32">
        <v>54</v>
      </c>
      <c r="G68" s="95">
        <v>0</v>
      </c>
    </row>
    <row r="69" spans="1:7" ht="30" x14ac:dyDescent="0.25">
      <c r="A69" s="29" t="s">
        <v>132</v>
      </c>
      <c r="B69" s="31">
        <v>45</v>
      </c>
      <c r="C69" s="31">
        <v>44</v>
      </c>
      <c r="D69" s="31">
        <v>44</v>
      </c>
      <c r="E69" s="27">
        <v>20</v>
      </c>
      <c r="F69" s="31">
        <v>3</v>
      </c>
      <c r="G69" s="95">
        <v>0</v>
      </c>
    </row>
    <row r="70" spans="1:7" x14ac:dyDescent="0.25">
      <c r="A70" s="25" t="s">
        <v>133</v>
      </c>
      <c r="B70" s="32">
        <v>43</v>
      </c>
      <c r="C70" s="32">
        <v>33</v>
      </c>
      <c r="D70" s="32">
        <v>3</v>
      </c>
      <c r="E70" s="27">
        <v>5</v>
      </c>
      <c r="F70" s="32">
        <v>0</v>
      </c>
      <c r="G70" s="95">
        <v>0</v>
      </c>
    </row>
    <row r="71" spans="1:7" ht="30" x14ac:dyDescent="0.25">
      <c r="A71" s="29" t="s">
        <v>134</v>
      </c>
      <c r="B71" s="31">
        <v>42</v>
      </c>
      <c r="C71" s="31">
        <v>36</v>
      </c>
      <c r="D71" s="31">
        <v>27</v>
      </c>
      <c r="E71" s="27">
        <v>7</v>
      </c>
      <c r="F71" s="31">
        <v>58</v>
      </c>
      <c r="G71" s="95">
        <v>0</v>
      </c>
    </row>
    <row r="72" spans="1:7" x14ac:dyDescent="0.25">
      <c r="A72" s="25" t="s">
        <v>135</v>
      </c>
      <c r="B72" s="32">
        <v>42</v>
      </c>
      <c r="C72" s="32">
        <v>39</v>
      </c>
      <c r="D72" s="32">
        <v>32</v>
      </c>
      <c r="E72" s="27">
        <v>25</v>
      </c>
      <c r="F72" s="32">
        <v>2</v>
      </c>
      <c r="G72" s="95">
        <v>0</v>
      </c>
    </row>
    <row r="73" spans="1:7" x14ac:dyDescent="0.25">
      <c r="A73" s="29" t="s">
        <v>136</v>
      </c>
      <c r="B73" s="31">
        <v>41</v>
      </c>
      <c r="C73" s="31">
        <v>38</v>
      </c>
      <c r="D73" s="31">
        <v>29</v>
      </c>
      <c r="E73" s="27">
        <v>0</v>
      </c>
      <c r="F73" s="31">
        <v>0</v>
      </c>
      <c r="G73" s="95">
        <v>0</v>
      </c>
    </row>
    <row r="74" spans="1:7" x14ac:dyDescent="0.25">
      <c r="A74" s="25" t="s">
        <v>137</v>
      </c>
      <c r="B74" s="32">
        <v>41</v>
      </c>
      <c r="C74" s="32">
        <v>27</v>
      </c>
      <c r="D74" s="32">
        <v>11</v>
      </c>
      <c r="E74" s="27">
        <v>6</v>
      </c>
      <c r="F74" s="32">
        <v>2</v>
      </c>
      <c r="G74" s="95">
        <v>0</v>
      </c>
    </row>
    <row r="75" spans="1:7" x14ac:dyDescent="0.25">
      <c r="A75" s="29" t="s">
        <v>138</v>
      </c>
      <c r="B75" s="31">
        <v>40</v>
      </c>
      <c r="C75" s="31">
        <v>40</v>
      </c>
      <c r="D75" s="31">
        <v>38</v>
      </c>
      <c r="E75" s="27">
        <v>8</v>
      </c>
      <c r="F75" s="31">
        <v>43</v>
      </c>
      <c r="G75" s="95">
        <v>0</v>
      </c>
    </row>
    <row r="76" spans="1:7" ht="30" x14ac:dyDescent="0.25">
      <c r="A76" s="25" t="s">
        <v>139</v>
      </c>
      <c r="B76" s="32">
        <v>39</v>
      </c>
      <c r="C76" s="32">
        <v>39</v>
      </c>
      <c r="D76" s="32">
        <v>37</v>
      </c>
      <c r="E76" s="27">
        <v>11</v>
      </c>
      <c r="F76" s="32">
        <v>69</v>
      </c>
      <c r="G76" s="95">
        <v>0</v>
      </c>
    </row>
    <row r="77" spans="1:7" ht="30" x14ac:dyDescent="0.25">
      <c r="A77" s="29" t="s">
        <v>140</v>
      </c>
      <c r="B77" s="31">
        <v>37</v>
      </c>
      <c r="C77" s="31">
        <v>35</v>
      </c>
      <c r="D77" s="31">
        <v>32</v>
      </c>
      <c r="E77" s="27">
        <v>6</v>
      </c>
      <c r="F77" s="31">
        <v>38</v>
      </c>
      <c r="G77" s="95">
        <v>0</v>
      </c>
    </row>
    <row r="78" spans="1:7" ht="30" x14ac:dyDescent="0.25">
      <c r="A78" s="25" t="s">
        <v>141</v>
      </c>
      <c r="B78" s="32">
        <v>37</v>
      </c>
      <c r="C78" s="32">
        <v>27</v>
      </c>
      <c r="D78" s="32">
        <v>13</v>
      </c>
      <c r="E78" s="27">
        <v>4</v>
      </c>
      <c r="F78" s="32">
        <v>42</v>
      </c>
      <c r="G78" s="95">
        <v>0</v>
      </c>
    </row>
    <row r="79" spans="1:7" x14ac:dyDescent="0.25">
      <c r="A79" s="29" t="s">
        <v>142</v>
      </c>
      <c r="B79" s="31">
        <v>36</v>
      </c>
      <c r="C79" s="31">
        <v>27</v>
      </c>
      <c r="D79" s="31">
        <v>7</v>
      </c>
      <c r="E79" s="27">
        <v>21</v>
      </c>
      <c r="F79" s="31">
        <v>0</v>
      </c>
      <c r="G79" s="95">
        <v>0</v>
      </c>
    </row>
    <row r="80" spans="1:7" x14ac:dyDescent="0.25">
      <c r="A80" s="25" t="s">
        <v>143</v>
      </c>
      <c r="B80" s="32">
        <v>36</v>
      </c>
      <c r="C80" s="32">
        <v>30</v>
      </c>
      <c r="D80" s="32">
        <v>21</v>
      </c>
      <c r="E80" s="27">
        <v>8</v>
      </c>
      <c r="F80" s="32">
        <v>11</v>
      </c>
      <c r="G80" s="95">
        <v>0</v>
      </c>
    </row>
    <row r="81" spans="1:7" ht="30" x14ac:dyDescent="0.25">
      <c r="A81" s="29" t="s">
        <v>144</v>
      </c>
      <c r="B81" s="31">
        <v>34</v>
      </c>
      <c r="C81" s="31">
        <v>34</v>
      </c>
      <c r="D81" s="31">
        <v>30</v>
      </c>
      <c r="E81" s="27">
        <v>14</v>
      </c>
      <c r="F81" s="31">
        <v>53</v>
      </c>
      <c r="G81" s="95">
        <v>0</v>
      </c>
    </row>
    <row r="82" spans="1:7" x14ac:dyDescent="0.25">
      <c r="A82" s="25" t="s">
        <v>145</v>
      </c>
      <c r="B82" s="32">
        <v>33</v>
      </c>
      <c r="C82" s="32">
        <v>31</v>
      </c>
      <c r="D82" s="32">
        <v>27</v>
      </c>
      <c r="E82" s="27">
        <v>0</v>
      </c>
      <c r="F82" s="32">
        <v>0</v>
      </c>
      <c r="G82" s="95">
        <v>0</v>
      </c>
    </row>
    <row r="83" spans="1:7" x14ac:dyDescent="0.25">
      <c r="A83" s="29" t="s">
        <v>146</v>
      </c>
      <c r="B83" s="31">
        <v>33</v>
      </c>
      <c r="C83" s="31">
        <v>33</v>
      </c>
      <c r="D83" s="31">
        <v>24</v>
      </c>
      <c r="E83" s="27">
        <v>0</v>
      </c>
      <c r="F83" s="31">
        <v>0</v>
      </c>
      <c r="G83" s="95">
        <v>0</v>
      </c>
    </row>
    <row r="84" spans="1:7" ht="30" x14ac:dyDescent="0.25">
      <c r="A84" s="25" t="s">
        <v>147</v>
      </c>
      <c r="B84" s="32">
        <v>32</v>
      </c>
      <c r="C84" s="32">
        <v>28</v>
      </c>
      <c r="D84" s="32">
        <v>25</v>
      </c>
      <c r="E84" s="27">
        <v>11</v>
      </c>
      <c r="F84" s="32">
        <v>42</v>
      </c>
      <c r="G84" s="95">
        <v>0</v>
      </c>
    </row>
    <row r="85" spans="1:7" ht="30" x14ac:dyDescent="0.25">
      <c r="A85" s="29" t="s">
        <v>148</v>
      </c>
      <c r="B85" s="31">
        <v>31</v>
      </c>
      <c r="C85" s="31">
        <v>14</v>
      </c>
      <c r="D85" s="31">
        <v>4</v>
      </c>
      <c r="E85" s="27">
        <v>9</v>
      </c>
      <c r="F85" s="31">
        <v>37</v>
      </c>
      <c r="G85" s="95">
        <v>0</v>
      </c>
    </row>
    <row r="86" spans="1:7" ht="30" x14ac:dyDescent="0.25">
      <c r="A86" s="25" t="s">
        <v>149</v>
      </c>
      <c r="B86" s="32">
        <v>29</v>
      </c>
      <c r="C86" s="32">
        <v>26</v>
      </c>
      <c r="D86" s="32">
        <v>22</v>
      </c>
      <c r="E86" s="27">
        <v>14</v>
      </c>
      <c r="F86" s="32">
        <v>35</v>
      </c>
      <c r="G86" s="95">
        <v>0</v>
      </c>
    </row>
    <row r="87" spans="1:7" x14ac:dyDescent="0.25">
      <c r="A87" s="29" t="s">
        <v>150</v>
      </c>
      <c r="B87" s="31">
        <v>29</v>
      </c>
      <c r="C87" s="31">
        <v>22</v>
      </c>
      <c r="D87" s="31">
        <v>8</v>
      </c>
      <c r="E87" s="27">
        <v>16</v>
      </c>
      <c r="F87" s="31">
        <v>7</v>
      </c>
      <c r="G87" s="95">
        <v>0</v>
      </c>
    </row>
    <row r="88" spans="1:7" ht="30" x14ac:dyDescent="0.25">
      <c r="A88" s="25" t="s">
        <v>151</v>
      </c>
      <c r="B88" s="32">
        <v>28</v>
      </c>
      <c r="C88" s="32">
        <v>22</v>
      </c>
      <c r="D88" s="32">
        <v>14</v>
      </c>
      <c r="E88" s="27">
        <v>6</v>
      </c>
      <c r="F88" s="32">
        <v>43</v>
      </c>
      <c r="G88" s="95">
        <v>0</v>
      </c>
    </row>
    <row r="89" spans="1:7" ht="30" x14ac:dyDescent="0.25">
      <c r="A89" s="29" t="s">
        <v>152</v>
      </c>
      <c r="B89" s="31">
        <v>28</v>
      </c>
      <c r="C89" s="31">
        <v>25</v>
      </c>
      <c r="D89" s="31">
        <v>22</v>
      </c>
      <c r="E89" s="27">
        <v>9</v>
      </c>
      <c r="F89" s="31">
        <v>47</v>
      </c>
      <c r="G89" s="95">
        <v>0</v>
      </c>
    </row>
    <row r="90" spans="1:7" ht="30" x14ac:dyDescent="0.25">
      <c r="A90" s="25" t="s">
        <v>153</v>
      </c>
      <c r="B90" s="32">
        <v>28</v>
      </c>
      <c r="C90" s="32">
        <v>21</v>
      </c>
      <c r="D90" s="32">
        <v>14</v>
      </c>
      <c r="E90" s="27">
        <v>53</v>
      </c>
      <c r="F90" s="32">
        <v>33</v>
      </c>
      <c r="G90" s="95">
        <v>0</v>
      </c>
    </row>
    <row r="91" spans="1:7" ht="30" x14ac:dyDescent="0.25">
      <c r="A91" s="29" t="s">
        <v>154</v>
      </c>
      <c r="B91" s="31">
        <v>28</v>
      </c>
      <c r="C91" s="31">
        <v>28</v>
      </c>
      <c r="D91" s="31">
        <v>1</v>
      </c>
      <c r="E91" s="27">
        <v>0</v>
      </c>
      <c r="F91" s="31">
        <v>16</v>
      </c>
      <c r="G91" s="95">
        <v>0</v>
      </c>
    </row>
    <row r="92" spans="1:7" ht="30" x14ac:dyDescent="0.25">
      <c r="A92" s="25" t="s">
        <v>155</v>
      </c>
      <c r="B92" s="32">
        <v>28</v>
      </c>
      <c r="C92" s="32">
        <v>23</v>
      </c>
      <c r="D92" s="32">
        <v>21</v>
      </c>
      <c r="E92" s="27">
        <v>7</v>
      </c>
      <c r="F92" s="32">
        <v>36</v>
      </c>
      <c r="G92" s="95">
        <v>0</v>
      </c>
    </row>
    <row r="93" spans="1:7" x14ac:dyDescent="0.25">
      <c r="A93" s="29" t="s">
        <v>156</v>
      </c>
      <c r="B93" s="31">
        <v>28</v>
      </c>
      <c r="C93" s="31">
        <v>22</v>
      </c>
      <c r="D93" s="31">
        <v>5</v>
      </c>
      <c r="E93" s="27">
        <v>14</v>
      </c>
      <c r="F93" s="31">
        <v>0</v>
      </c>
      <c r="G93" s="95">
        <v>0</v>
      </c>
    </row>
    <row r="94" spans="1:7" x14ac:dyDescent="0.25">
      <c r="A94" s="25" t="s">
        <v>157</v>
      </c>
      <c r="B94" s="32">
        <v>26</v>
      </c>
      <c r="C94" s="32">
        <v>26</v>
      </c>
      <c r="D94" s="32">
        <v>0</v>
      </c>
      <c r="E94" s="27">
        <v>0</v>
      </c>
      <c r="F94" s="32">
        <v>0</v>
      </c>
      <c r="G94" s="95">
        <v>0</v>
      </c>
    </row>
    <row r="95" spans="1:7" ht="30" x14ac:dyDescent="0.25">
      <c r="A95" s="29" t="s">
        <v>158</v>
      </c>
      <c r="B95" s="31">
        <v>26</v>
      </c>
      <c r="C95" s="31">
        <v>20</v>
      </c>
      <c r="D95" s="31">
        <v>17</v>
      </c>
      <c r="E95" s="27">
        <v>11</v>
      </c>
      <c r="F95" s="31">
        <v>31</v>
      </c>
      <c r="G95" s="95">
        <v>0</v>
      </c>
    </row>
    <row r="96" spans="1:7" ht="30" x14ac:dyDescent="0.25">
      <c r="A96" s="25" t="s">
        <v>159</v>
      </c>
      <c r="B96" s="32">
        <v>25</v>
      </c>
      <c r="C96" s="32">
        <v>16</v>
      </c>
      <c r="D96" s="32">
        <v>13</v>
      </c>
      <c r="E96" s="27">
        <v>7</v>
      </c>
      <c r="F96" s="32">
        <v>40</v>
      </c>
      <c r="G96" s="95">
        <v>0</v>
      </c>
    </row>
    <row r="97" spans="1:7" ht="30" x14ac:dyDescent="0.25">
      <c r="A97" s="29" t="s">
        <v>160</v>
      </c>
      <c r="B97" s="31">
        <v>25</v>
      </c>
      <c r="C97" s="31">
        <v>24</v>
      </c>
      <c r="D97" s="31">
        <v>21</v>
      </c>
      <c r="E97" s="27">
        <v>9</v>
      </c>
      <c r="F97" s="31">
        <v>26</v>
      </c>
      <c r="G97" s="95">
        <v>0</v>
      </c>
    </row>
    <row r="98" spans="1:7" x14ac:dyDescent="0.25">
      <c r="A98" s="25" t="s">
        <v>161</v>
      </c>
      <c r="B98" s="32">
        <v>25</v>
      </c>
      <c r="C98" s="32">
        <v>20</v>
      </c>
      <c r="D98" s="32">
        <v>8</v>
      </c>
      <c r="E98" s="27">
        <v>18</v>
      </c>
      <c r="F98" s="32">
        <v>2</v>
      </c>
      <c r="G98" s="95">
        <v>0</v>
      </c>
    </row>
    <row r="99" spans="1:7" x14ac:dyDescent="0.25">
      <c r="A99" s="29" t="s">
        <v>162</v>
      </c>
      <c r="B99" s="31">
        <v>24</v>
      </c>
      <c r="C99" s="31">
        <v>19</v>
      </c>
      <c r="D99" s="31">
        <v>8</v>
      </c>
      <c r="E99" s="27">
        <v>23</v>
      </c>
      <c r="F99" s="31">
        <v>3</v>
      </c>
      <c r="G99" s="95">
        <v>0</v>
      </c>
    </row>
    <row r="100" spans="1:7" ht="30" x14ac:dyDescent="0.25">
      <c r="A100" s="25" t="s">
        <v>163</v>
      </c>
      <c r="B100" s="32">
        <v>23</v>
      </c>
      <c r="C100" s="32">
        <v>20</v>
      </c>
      <c r="D100" s="32">
        <v>12</v>
      </c>
      <c r="E100" s="27">
        <v>12</v>
      </c>
      <c r="F100" s="32">
        <v>35</v>
      </c>
      <c r="G100" s="95">
        <v>0</v>
      </c>
    </row>
    <row r="101" spans="1:7" ht="30" x14ac:dyDescent="0.25">
      <c r="A101" s="29" t="s">
        <v>164</v>
      </c>
      <c r="B101" s="31">
        <v>23</v>
      </c>
      <c r="C101" s="31">
        <v>19</v>
      </c>
      <c r="D101" s="31">
        <v>11</v>
      </c>
      <c r="E101" s="27">
        <v>11</v>
      </c>
      <c r="F101" s="31">
        <v>39</v>
      </c>
      <c r="G101" s="95">
        <v>0</v>
      </c>
    </row>
    <row r="102" spans="1:7" ht="30" x14ac:dyDescent="0.25">
      <c r="A102" s="25" t="s">
        <v>165</v>
      </c>
      <c r="B102" s="32">
        <v>23</v>
      </c>
      <c r="C102" s="32">
        <v>8</v>
      </c>
      <c r="D102" s="32">
        <v>4</v>
      </c>
      <c r="E102" s="27">
        <v>1</v>
      </c>
      <c r="F102" s="32">
        <v>21</v>
      </c>
      <c r="G102" s="95">
        <v>0</v>
      </c>
    </row>
    <row r="103" spans="1:7" x14ac:dyDescent="0.25">
      <c r="A103" s="29" t="s">
        <v>166</v>
      </c>
      <c r="B103" s="31">
        <v>23</v>
      </c>
      <c r="C103" s="31">
        <v>19</v>
      </c>
      <c r="D103" s="31">
        <v>9</v>
      </c>
      <c r="E103" s="27">
        <v>6</v>
      </c>
      <c r="F103" s="31">
        <v>1</v>
      </c>
      <c r="G103" s="95">
        <v>0</v>
      </c>
    </row>
    <row r="104" spans="1:7" ht="30" x14ac:dyDescent="0.25">
      <c r="A104" s="25" t="s">
        <v>167</v>
      </c>
      <c r="B104" s="32">
        <v>22</v>
      </c>
      <c r="C104" s="32">
        <v>18</v>
      </c>
      <c r="D104" s="32">
        <v>14</v>
      </c>
      <c r="E104" s="27">
        <v>10</v>
      </c>
      <c r="F104" s="32">
        <v>31</v>
      </c>
      <c r="G104" s="95">
        <v>0</v>
      </c>
    </row>
    <row r="105" spans="1:7" ht="30" x14ac:dyDescent="0.25">
      <c r="A105" s="29" t="s">
        <v>168</v>
      </c>
      <c r="B105" s="31">
        <v>22</v>
      </c>
      <c r="C105" s="31">
        <v>20</v>
      </c>
      <c r="D105" s="31">
        <v>10</v>
      </c>
      <c r="E105" s="27">
        <v>12</v>
      </c>
      <c r="F105" s="31">
        <v>37</v>
      </c>
      <c r="G105" s="95">
        <v>0</v>
      </c>
    </row>
    <row r="106" spans="1:7" ht="30" x14ac:dyDescent="0.25">
      <c r="A106" s="25" t="s">
        <v>169</v>
      </c>
      <c r="B106" s="32">
        <v>22</v>
      </c>
      <c r="C106" s="32">
        <v>19</v>
      </c>
      <c r="D106" s="32">
        <v>16</v>
      </c>
      <c r="E106" s="27">
        <v>16</v>
      </c>
      <c r="F106" s="32">
        <v>32</v>
      </c>
      <c r="G106" s="95">
        <v>0</v>
      </c>
    </row>
    <row r="107" spans="1:7" ht="30" x14ac:dyDescent="0.25">
      <c r="A107" s="29" t="s">
        <v>170</v>
      </c>
      <c r="B107" s="31">
        <v>22</v>
      </c>
      <c r="C107" s="31">
        <v>21</v>
      </c>
      <c r="D107" s="31">
        <v>12</v>
      </c>
      <c r="E107" s="27">
        <v>19</v>
      </c>
      <c r="F107" s="31">
        <v>68</v>
      </c>
      <c r="G107" s="95">
        <v>0</v>
      </c>
    </row>
    <row r="108" spans="1:7" x14ac:dyDescent="0.25">
      <c r="A108" s="25" t="s">
        <v>171</v>
      </c>
      <c r="B108" s="32">
        <v>22</v>
      </c>
      <c r="C108" s="32">
        <v>18</v>
      </c>
      <c r="D108" s="32">
        <v>13</v>
      </c>
      <c r="E108" s="27">
        <v>6</v>
      </c>
      <c r="F108" s="32">
        <v>0</v>
      </c>
      <c r="G108" s="95">
        <v>0</v>
      </c>
    </row>
    <row r="109" spans="1:7" x14ac:dyDescent="0.25">
      <c r="A109" s="29" t="s">
        <v>172</v>
      </c>
      <c r="B109" s="31">
        <v>21</v>
      </c>
      <c r="C109" s="31">
        <v>17</v>
      </c>
      <c r="D109" s="31">
        <v>14</v>
      </c>
      <c r="E109" s="27">
        <v>0</v>
      </c>
      <c r="F109" s="31">
        <v>0</v>
      </c>
      <c r="G109" s="95">
        <v>0</v>
      </c>
    </row>
    <row r="110" spans="1:7" ht="30" x14ac:dyDescent="0.25">
      <c r="A110" s="25" t="s">
        <v>173</v>
      </c>
      <c r="B110" s="32">
        <v>21</v>
      </c>
      <c r="C110" s="32">
        <v>18</v>
      </c>
      <c r="D110" s="32">
        <v>15</v>
      </c>
      <c r="E110" s="27">
        <v>7</v>
      </c>
      <c r="F110" s="32">
        <v>30</v>
      </c>
      <c r="G110" s="95">
        <v>0</v>
      </c>
    </row>
    <row r="111" spans="1:7" ht="30" x14ac:dyDescent="0.25">
      <c r="A111" s="29" t="s">
        <v>174</v>
      </c>
      <c r="B111" s="31">
        <v>21</v>
      </c>
      <c r="C111" s="31">
        <v>10</v>
      </c>
      <c r="D111" s="31">
        <v>5</v>
      </c>
      <c r="E111" s="27">
        <v>10</v>
      </c>
      <c r="F111" s="31">
        <v>30</v>
      </c>
      <c r="G111" s="95">
        <v>0</v>
      </c>
    </row>
    <row r="112" spans="1:7" x14ac:dyDescent="0.25">
      <c r="A112" s="25" t="s">
        <v>175</v>
      </c>
      <c r="B112" s="32">
        <v>20</v>
      </c>
      <c r="C112" s="32">
        <v>15</v>
      </c>
      <c r="D112" s="32">
        <v>7</v>
      </c>
      <c r="E112" s="27">
        <v>27</v>
      </c>
      <c r="F112" s="32">
        <v>15</v>
      </c>
      <c r="G112" s="95">
        <v>0</v>
      </c>
    </row>
    <row r="113" spans="1:7" ht="30" x14ac:dyDescent="0.25">
      <c r="A113" s="29" t="s">
        <v>176</v>
      </c>
      <c r="B113" s="31">
        <v>20</v>
      </c>
      <c r="C113" s="31">
        <v>19</v>
      </c>
      <c r="D113" s="31">
        <v>17</v>
      </c>
      <c r="E113" s="27">
        <v>14</v>
      </c>
      <c r="F113" s="31">
        <v>30</v>
      </c>
      <c r="G113" s="95">
        <v>0</v>
      </c>
    </row>
    <row r="114" spans="1:7" ht="30" x14ac:dyDescent="0.25">
      <c r="A114" s="25" t="s">
        <v>177</v>
      </c>
      <c r="B114" s="32">
        <v>20</v>
      </c>
      <c r="C114" s="32">
        <v>18</v>
      </c>
      <c r="D114" s="32">
        <v>3</v>
      </c>
      <c r="E114" s="27">
        <v>7</v>
      </c>
      <c r="F114" s="32">
        <v>22</v>
      </c>
      <c r="G114" s="95">
        <v>0</v>
      </c>
    </row>
    <row r="115" spans="1:7" ht="30" x14ac:dyDescent="0.25">
      <c r="A115" s="29" t="s">
        <v>178</v>
      </c>
      <c r="B115" s="31">
        <v>20</v>
      </c>
      <c r="C115" s="31">
        <v>16</v>
      </c>
      <c r="D115" s="31">
        <v>13</v>
      </c>
      <c r="E115" s="27">
        <v>6</v>
      </c>
      <c r="F115" s="31">
        <v>27</v>
      </c>
      <c r="G115" s="95">
        <v>0</v>
      </c>
    </row>
    <row r="116" spans="1:7" ht="30" x14ac:dyDescent="0.25">
      <c r="A116" s="25" t="s">
        <v>179</v>
      </c>
      <c r="B116" s="32">
        <v>20</v>
      </c>
      <c r="C116" s="32">
        <v>19</v>
      </c>
      <c r="D116" s="32">
        <v>17</v>
      </c>
      <c r="E116" s="27">
        <v>11</v>
      </c>
      <c r="F116" s="32">
        <v>27</v>
      </c>
      <c r="G116" s="95">
        <v>0</v>
      </c>
    </row>
    <row r="117" spans="1:7" ht="30" x14ac:dyDescent="0.25">
      <c r="A117" s="29" t="s">
        <v>180</v>
      </c>
      <c r="B117" s="31">
        <v>20</v>
      </c>
      <c r="C117" s="31">
        <v>19</v>
      </c>
      <c r="D117" s="31">
        <v>18</v>
      </c>
      <c r="E117" s="27">
        <v>32</v>
      </c>
      <c r="F117" s="31">
        <v>26</v>
      </c>
      <c r="G117" s="95">
        <v>0</v>
      </c>
    </row>
    <row r="118" spans="1:7" ht="30" x14ac:dyDescent="0.25">
      <c r="A118" s="25" t="s">
        <v>181</v>
      </c>
      <c r="B118" s="32">
        <v>20</v>
      </c>
      <c r="C118" s="32">
        <v>18</v>
      </c>
      <c r="D118" s="32">
        <v>16</v>
      </c>
      <c r="E118" s="27">
        <v>4</v>
      </c>
      <c r="F118" s="32">
        <v>25</v>
      </c>
      <c r="G118" s="95">
        <v>0</v>
      </c>
    </row>
    <row r="119" spans="1:7" x14ac:dyDescent="0.25">
      <c r="A119" s="29" t="s">
        <v>182</v>
      </c>
      <c r="B119" s="31">
        <v>19</v>
      </c>
      <c r="C119" s="31">
        <v>18</v>
      </c>
      <c r="D119" s="31">
        <v>16</v>
      </c>
      <c r="E119" s="27">
        <v>1</v>
      </c>
      <c r="F119" s="31">
        <v>0</v>
      </c>
      <c r="G119" s="95">
        <v>0</v>
      </c>
    </row>
    <row r="120" spans="1:7" x14ac:dyDescent="0.25">
      <c r="A120" s="25" t="s">
        <v>183</v>
      </c>
      <c r="B120" s="32">
        <v>19</v>
      </c>
      <c r="C120" s="32">
        <v>18</v>
      </c>
      <c r="D120" s="32">
        <v>13</v>
      </c>
      <c r="E120" s="27">
        <v>0</v>
      </c>
      <c r="F120" s="32">
        <v>0</v>
      </c>
      <c r="G120" s="95">
        <v>0</v>
      </c>
    </row>
    <row r="121" spans="1:7" ht="30" x14ac:dyDescent="0.25">
      <c r="A121" s="29" t="s">
        <v>184</v>
      </c>
      <c r="B121" s="31">
        <v>19</v>
      </c>
      <c r="C121" s="31">
        <v>17</v>
      </c>
      <c r="D121" s="31">
        <v>15</v>
      </c>
      <c r="E121" s="27">
        <v>44</v>
      </c>
      <c r="F121" s="31">
        <v>45</v>
      </c>
      <c r="G121" s="95">
        <v>0</v>
      </c>
    </row>
    <row r="122" spans="1:7" ht="30" x14ac:dyDescent="0.25">
      <c r="A122" s="25" t="s">
        <v>185</v>
      </c>
      <c r="B122" s="32">
        <v>19</v>
      </c>
      <c r="C122" s="32">
        <v>18</v>
      </c>
      <c r="D122" s="32">
        <v>15</v>
      </c>
      <c r="E122" s="27">
        <v>8</v>
      </c>
      <c r="F122" s="32">
        <v>23</v>
      </c>
      <c r="G122" s="95">
        <v>0</v>
      </c>
    </row>
    <row r="123" spans="1:7" ht="30" x14ac:dyDescent="0.25">
      <c r="A123" s="29" t="s">
        <v>186</v>
      </c>
      <c r="B123" s="31">
        <v>19</v>
      </c>
      <c r="C123" s="31">
        <v>17</v>
      </c>
      <c r="D123" s="31">
        <v>14</v>
      </c>
      <c r="E123" s="27">
        <v>26</v>
      </c>
      <c r="F123" s="31">
        <v>28</v>
      </c>
      <c r="G123" s="95">
        <v>0</v>
      </c>
    </row>
    <row r="124" spans="1:7" ht="30" x14ac:dyDescent="0.25">
      <c r="A124" s="25" t="s">
        <v>187</v>
      </c>
      <c r="B124" s="32">
        <v>19</v>
      </c>
      <c r="C124" s="32">
        <v>15</v>
      </c>
      <c r="D124" s="32">
        <v>11</v>
      </c>
      <c r="E124" s="27">
        <v>9</v>
      </c>
      <c r="F124" s="32">
        <v>27</v>
      </c>
      <c r="G124" s="95">
        <v>0</v>
      </c>
    </row>
    <row r="125" spans="1:7" x14ac:dyDescent="0.25">
      <c r="A125" s="29" t="s">
        <v>188</v>
      </c>
      <c r="B125" s="31">
        <v>19</v>
      </c>
      <c r="C125" s="31">
        <v>19</v>
      </c>
      <c r="D125" s="31">
        <v>17</v>
      </c>
      <c r="E125" s="27">
        <v>10</v>
      </c>
      <c r="F125" s="31">
        <v>7</v>
      </c>
      <c r="G125" s="95">
        <v>0</v>
      </c>
    </row>
    <row r="126" spans="1:7" ht="30" x14ac:dyDescent="0.25">
      <c r="A126" s="25" t="s">
        <v>189</v>
      </c>
      <c r="B126" s="32">
        <v>19</v>
      </c>
      <c r="C126" s="32">
        <v>18</v>
      </c>
      <c r="D126" s="32">
        <v>15</v>
      </c>
      <c r="E126" s="27">
        <v>5</v>
      </c>
      <c r="F126" s="32">
        <v>19</v>
      </c>
      <c r="G126" s="95">
        <v>0</v>
      </c>
    </row>
    <row r="127" spans="1:7" x14ac:dyDescent="0.25">
      <c r="A127" s="29" t="s">
        <v>190</v>
      </c>
      <c r="B127" s="31">
        <v>19</v>
      </c>
      <c r="C127" s="31">
        <v>14</v>
      </c>
      <c r="D127" s="31">
        <v>7</v>
      </c>
      <c r="E127" s="27">
        <v>4</v>
      </c>
      <c r="F127" s="31">
        <v>2</v>
      </c>
      <c r="G127" s="95">
        <v>0</v>
      </c>
    </row>
    <row r="128" spans="1:7" x14ac:dyDescent="0.25">
      <c r="A128" s="25" t="s">
        <v>191</v>
      </c>
      <c r="B128" s="32">
        <v>18</v>
      </c>
      <c r="C128" s="32">
        <v>17</v>
      </c>
      <c r="D128" s="32">
        <v>14</v>
      </c>
      <c r="E128" s="27">
        <v>11</v>
      </c>
      <c r="F128" s="32">
        <v>23</v>
      </c>
      <c r="G128" s="95">
        <v>0</v>
      </c>
    </row>
    <row r="129" spans="1:7" ht="30" x14ac:dyDescent="0.25">
      <c r="A129" s="29" t="s">
        <v>192</v>
      </c>
      <c r="B129" s="31">
        <v>18</v>
      </c>
      <c r="C129" s="31">
        <v>15</v>
      </c>
      <c r="D129" s="31">
        <v>7</v>
      </c>
      <c r="E129" s="27">
        <v>12</v>
      </c>
      <c r="F129" s="31">
        <v>23</v>
      </c>
      <c r="G129" s="95">
        <v>0</v>
      </c>
    </row>
    <row r="130" spans="1:7" ht="30" x14ac:dyDescent="0.25">
      <c r="A130" s="25" t="s">
        <v>193</v>
      </c>
      <c r="B130" s="32">
        <v>18</v>
      </c>
      <c r="C130" s="32">
        <v>15</v>
      </c>
      <c r="D130" s="32">
        <v>12</v>
      </c>
      <c r="E130" s="27">
        <v>10</v>
      </c>
      <c r="F130" s="32">
        <v>48</v>
      </c>
      <c r="G130" s="95">
        <v>0</v>
      </c>
    </row>
    <row r="131" spans="1:7" x14ac:dyDescent="0.25">
      <c r="A131" s="29" t="s">
        <v>194</v>
      </c>
      <c r="B131" s="31">
        <v>18</v>
      </c>
      <c r="C131" s="31">
        <v>15</v>
      </c>
      <c r="D131" s="31">
        <v>10</v>
      </c>
      <c r="E131" s="27">
        <v>8</v>
      </c>
      <c r="F131" s="31">
        <v>19</v>
      </c>
      <c r="G131" s="95">
        <v>0</v>
      </c>
    </row>
    <row r="132" spans="1:7" ht="30" x14ac:dyDescent="0.25">
      <c r="A132" s="25" t="s">
        <v>195</v>
      </c>
      <c r="B132" s="32">
        <v>18</v>
      </c>
      <c r="C132" s="32">
        <v>9</v>
      </c>
      <c r="D132" s="32">
        <v>1</v>
      </c>
      <c r="E132" s="27">
        <v>5</v>
      </c>
      <c r="F132" s="32">
        <v>23</v>
      </c>
      <c r="G132" s="95">
        <v>0</v>
      </c>
    </row>
    <row r="133" spans="1:7" ht="30" x14ac:dyDescent="0.25">
      <c r="A133" s="29" t="s">
        <v>196</v>
      </c>
      <c r="B133" s="31">
        <v>18</v>
      </c>
      <c r="C133" s="31">
        <v>16</v>
      </c>
      <c r="D133" s="31">
        <v>12</v>
      </c>
      <c r="E133" s="27">
        <v>7</v>
      </c>
      <c r="F133" s="31">
        <v>21</v>
      </c>
      <c r="G133" s="95">
        <v>0</v>
      </c>
    </row>
    <row r="134" spans="1:7" ht="30" x14ac:dyDescent="0.25">
      <c r="A134" s="25" t="s">
        <v>197</v>
      </c>
      <c r="B134" s="32">
        <v>18</v>
      </c>
      <c r="C134" s="32">
        <v>6</v>
      </c>
      <c r="D134" s="32">
        <v>2</v>
      </c>
      <c r="E134" s="27">
        <v>4</v>
      </c>
      <c r="F134" s="32">
        <v>32</v>
      </c>
      <c r="G134" s="95">
        <v>0</v>
      </c>
    </row>
    <row r="135" spans="1:7" ht="30" x14ac:dyDescent="0.25">
      <c r="A135" s="29" t="s">
        <v>198</v>
      </c>
      <c r="B135" s="31">
        <v>18</v>
      </c>
      <c r="C135" s="31">
        <v>14</v>
      </c>
      <c r="D135" s="31">
        <v>12</v>
      </c>
      <c r="E135" s="27">
        <v>8</v>
      </c>
      <c r="F135" s="31">
        <v>29</v>
      </c>
      <c r="G135" s="95">
        <v>0</v>
      </c>
    </row>
    <row r="136" spans="1:7" x14ac:dyDescent="0.25">
      <c r="A136" s="25" t="s">
        <v>199</v>
      </c>
      <c r="B136" s="32">
        <v>18</v>
      </c>
      <c r="C136" s="32">
        <v>8</v>
      </c>
      <c r="D136" s="32">
        <v>1</v>
      </c>
      <c r="E136" s="27">
        <v>12</v>
      </c>
      <c r="F136" s="32">
        <v>0</v>
      </c>
      <c r="G136" s="95">
        <v>0</v>
      </c>
    </row>
    <row r="137" spans="1:7" x14ac:dyDescent="0.25">
      <c r="A137" s="29" t="s">
        <v>200</v>
      </c>
      <c r="B137" s="31">
        <v>18</v>
      </c>
      <c r="C137" s="31">
        <v>15</v>
      </c>
      <c r="D137" s="31">
        <v>7</v>
      </c>
      <c r="E137" s="27">
        <v>0</v>
      </c>
      <c r="F137" s="31">
        <v>0</v>
      </c>
      <c r="G137" s="95">
        <v>0</v>
      </c>
    </row>
    <row r="138" spans="1:7" x14ac:dyDescent="0.25">
      <c r="A138" s="25" t="s">
        <v>201</v>
      </c>
      <c r="B138" s="32">
        <v>18</v>
      </c>
      <c r="C138" s="32">
        <v>16</v>
      </c>
      <c r="D138" s="32">
        <v>8</v>
      </c>
      <c r="E138" s="27">
        <v>4</v>
      </c>
      <c r="F138" s="32">
        <v>0</v>
      </c>
      <c r="G138" s="95">
        <v>0</v>
      </c>
    </row>
    <row r="139" spans="1:7" ht="30" x14ac:dyDescent="0.25">
      <c r="A139" s="29" t="s">
        <v>202</v>
      </c>
      <c r="B139" s="31">
        <v>17</v>
      </c>
      <c r="C139" s="31">
        <v>15</v>
      </c>
      <c r="D139" s="31">
        <v>12</v>
      </c>
      <c r="E139" s="27">
        <v>12</v>
      </c>
      <c r="F139" s="31">
        <v>16</v>
      </c>
      <c r="G139" s="95">
        <v>0</v>
      </c>
    </row>
    <row r="140" spans="1:7" ht="30" x14ac:dyDescent="0.25">
      <c r="A140" s="25" t="s">
        <v>203</v>
      </c>
      <c r="B140" s="32">
        <v>17</v>
      </c>
      <c r="C140" s="32">
        <v>13</v>
      </c>
      <c r="D140" s="32">
        <v>10</v>
      </c>
      <c r="E140" s="27">
        <v>4</v>
      </c>
      <c r="F140" s="32">
        <v>18</v>
      </c>
      <c r="G140" s="95">
        <v>0</v>
      </c>
    </row>
    <row r="141" spans="1:7" ht="30" x14ac:dyDescent="0.25">
      <c r="A141" s="29" t="s">
        <v>204</v>
      </c>
      <c r="B141" s="31">
        <v>17</v>
      </c>
      <c r="C141" s="31">
        <v>12</v>
      </c>
      <c r="D141" s="31">
        <v>10</v>
      </c>
      <c r="E141" s="27">
        <v>4</v>
      </c>
      <c r="F141" s="31">
        <v>22</v>
      </c>
      <c r="G141" s="95">
        <v>0</v>
      </c>
    </row>
    <row r="142" spans="1:7" ht="30" x14ac:dyDescent="0.25">
      <c r="A142" s="25" t="s">
        <v>205</v>
      </c>
      <c r="B142" s="32">
        <v>17</v>
      </c>
      <c r="C142" s="32">
        <v>15</v>
      </c>
      <c r="D142" s="32">
        <v>10</v>
      </c>
      <c r="E142" s="27">
        <v>20</v>
      </c>
      <c r="F142" s="32">
        <v>24</v>
      </c>
      <c r="G142" s="95">
        <v>0</v>
      </c>
    </row>
    <row r="143" spans="1:7" ht="30" x14ac:dyDescent="0.25">
      <c r="A143" s="29" t="s">
        <v>206</v>
      </c>
      <c r="B143" s="31">
        <v>17</v>
      </c>
      <c r="C143" s="31">
        <v>5</v>
      </c>
      <c r="D143" s="31">
        <v>0</v>
      </c>
      <c r="E143" s="27">
        <v>6</v>
      </c>
      <c r="F143" s="31">
        <v>21</v>
      </c>
      <c r="G143" s="95">
        <v>0</v>
      </c>
    </row>
    <row r="144" spans="1:7" ht="30" x14ac:dyDescent="0.25">
      <c r="A144" s="25" t="s">
        <v>207</v>
      </c>
      <c r="B144" s="32">
        <v>17</v>
      </c>
      <c r="C144" s="32">
        <v>10</v>
      </c>
      <c r="D144" s="32">
        <v>2</v>
      </c>
      <c r="E144" s="27">
        <v>3</v>
      </c>
      <c r="F144" s="32">
        <v>18</v>
      </c>
      <c r="G144" s="95">
        <v>0</v>
      </c>
    </row>
    <row r="145" spans="1:7" x14ac:dyDescent="0.25">
      <c r="A145" s="29" t="s">
        <v>208</v>
      </c>
      <c r="B145" s="31">
        <v>17</v>
      </c>
      <c r="C145" s="31">
        <v>17</v>
      </c>
      <c r="D145" s="31">
        <v>17</v>
      </c>
      <c r="E145" s="27">
        <v>3</v>
      </c>
      <c r="F145" s="31">
        <v>2</v>
      </c>
      <c r="G145" s="95">
        <v>0</v>
      </c>
    </row>
    <row r="146" spans="1:7" ht="30" x14ac:dyDescent="0.25">
      <c r="A146" s="25" t="s">
        <v>209</v>
      </c>
      <c r="B146" s="32">
        <v>16</v>
      </c>
      <c r="C146" s="32">
        <v>15</v>
      </c>
      <c r="D146" s="32">
        <v>10</v>
      </c>
      <c r="E146" s="27">
        <v>16</v>
      </c>
      <c r="F146" s="32">
        <v>21</v>
      </c>
      <c r="G146" s="95">
        <v>0</v>
      </c>
    </row>
    <row r="147" spans="1:7" ht="30" x14ac:dyDescent="0.25">
      <c r="A147" s="29" t="s">
        <v>210</v>
      </c>
      <c r="B147" s="31">
        <v>16</v>
      </c>
      <c r="C147" s="31">
        <v>12</v>
      </c>
      <c r="D147" s="31">
        <v>7</v>
      </c>
      <c r="E147" s="27">
        <v>11</v>
      </c>
      <c r="F147" s="31">
        <v>20</v>
      </c>
      <c r="G147" s="95">
        <v>0</v>
      </c>
    </row>
    <row r="148" spans="1:7" x14ac:dyDescent="0.25">
      <c r="A148" s="25" t="s">
        <v>211</v>
      </c>
      <c r="B148" s="32">
        <v>15</v>
      </c>
      <c r="C148" s="32">
        <v>13</v>
      </c>
      <c r="D148" s="32">
        <v>3</v>
      </c>
      <c r="E148" s="27">
        <v>34</v>
      </c>
      <c r="F148" s="32">
        <v>2</v>
      </c>
      <c r="G148" s="95">
        <v>0</v>
      </c>
    </row>
    <row r="149" spans="1:7" x14ac:dyDescent="0.25">
      <c r="A149" s="29" t="s">
        <v>212</v>
      </c>
      <c r="B149" s="31">
        <v>15</v>
      </c>
      <c r="C149" s="31">
        <v>6</v>
      </c>
      <c r="D149" s="31">
        <v>1</v>
      </c>
      <c r="E149" s="27">
        <v>1</v>
      </c>
      <c r="F149" s="31">
        <v>0</v>
      </c>
      <c r="G149" s="95">
        <v>0</v>
      </c>
    </row>
    <row r="150" spans="1:7" ht="30" x14ac:dyDescent="0.25">
      <c r="A150" s="25" t="s">
        <v>213</v>
      </c>
      <c r="B150" s="32">
        <v>15</v>
      </c>
      <c r="C150" s="32">
        <v>12</v>
      </c>
      <c r="D150" s="32">
        <v>10</v>
      </c>
      <c r="E150" s="27">
        <v>7</v>
      </c>
      <c r="F150" s="32">
        <v>19</v>
      </c>
      <c r="G150" s="95">
        <v>0</v>
      </c>
    </row>
    <row r="151" spans="1:7" ht="30" x14ac:dyDescent="0.25">
      <c r="A151" s="29" t="s">
        <v>214</v>
      </c>
      <c r="B151" s="31">
        <v>15</v>
      </c>
      <c r="C151" s="31">
        <v>14</v>
      </c>
      <c r="D151" s="31">
        <v>10</v>
      </c>
      <c r="E151" s="27">
        <v>3</v>
      </c>
      <c r="F151" s="31">
        <v>14</v>
      </c>
      <c r="G151" s="95">
        <v>0</v>
      </c>
    </row>
    <row r="152" spans="1:7" ht="30" x14ac:dyDescent="0.25">
      <c r="A152" s="25" t="s">
        <v>215</v>
      </c>
      <c r="B152" s="32">
        <v>15</v>
      </c>
      <c r="C152" s="32">
        <v>14</v>
      </c>
      <c r="D152" s="32">
        <v>14</v>
      </c>
      <c r="E152" s="27">
        <v>9</v>
      </c>
      <c r="F152" s="32">
        <v>16</v>
      </c>
      <c r="G152" s="95">
        <v>0</v>
      </c>
    </row>
    <row r="153" spans="1:7" ht="30" x14ac:dyDescent="0.25">
      <c r="A153" s="29" t="s">
        <v>216</v>
      </c>
      <c r="B153" s="31">
        <v>15</v>
      </c>
      <c r="C153" s="31">
        <v>11</v>
      </c>
      <c r="D153" s="31">
        <v>6</v>
      </c>
      <c r="E153" s="27">
        <v>11</v>
      </c>
      <c r="F153" s="31">
        <v>61</v>
      </c>
      <c r="G153" s="95">
        <v>0</v>
      </c>
    </row>
    <row r="154" spans="1:7" ht="30" x14ac:dyDescent="0.25">
      <c r="A154" s="25" t="s">
        <v>217</v>
      </c>
      <c r="B154" s="32">
        <v>15</v>
      </c>
      <c r="C154" s="32">
        <v>13</v>
      </c>
      <c r="D154" s="32">
        <v>9</v>
      </c>
      <c r="E154" s="27">
        <v>3</v>
      </c>
      <c r="F154" s="32">
        <v>18</v>
      </c>
      <c r="G154" s="95">
        <v>0</v>
      </c>
    </row>
    <row r="155" spans="1:7" ht="30" x14ac:dyDescent="0.25">
      <c r="A155" s="29" t="s">
        <v>218</v>
      </c>
      <c r="B155" s="31">
        <v>15</v>
      </c>
      <c r="C155" s="31">
        <v>15</v>
      </c>
      <c r="D155" s="31">
        <v>12</v>
      </c>
      <c r="E155" s="27">
        <v>18</v>
      </c>
      <c r="F155" s="31">
        <v>25</v>
      </c>
      <c r="G155" s="95">
        <v>0</v>
      </c>
    </row>
    <row r="156" spans="1:7" x14ac:dyDescent="0.25">
      <c r="A156" s="25" t="s">
        <v>219</v>
      </c>
      <c r="B156" s="32">
        <v>15</v>
      </c>
      <c r="C156" s="32">
        <v>15</v>
      </c>
      <c r="D156" s="32">
        <v>11</v>
      </c>
      <c r="E156" s="27">
        <v>0</v>
      </c>
      <c r="F156" s="32">
        <v>31</v>
      </c>
      <c r="G156" s="95">
        <v>0</v>
      </c>
    </row>
    <row r="157" spans="1:7" x14ac:dyDescent="0.25">
      <c r="A157" s="29" t="s">
        <v>220</v>
      </c>
      <c r="B157" s="31">
        <v>15</v>
      </c>
      <c r="C157" s="31">
        <v>11</v>
      </c>
      <c r="D157" s="31">
        <v>5</v>
      </c>
      <c r="E157" s="27">
        <v>5</v>
      </c>
      <c r="F157" s="31">
        <v>0</v>
      </c>
      <c r="G157" s="95">
        <v>0</v>
      </c>
    </row>
    <row r="158" spans="1:7" ht="30" x14ac:dyDescent="0.25">
      <c r="A158" s="25" t="s">
        <v>221</v>
      </c>
      <c r="B158" s="32">
        <v>14</v>
      </c>
      <c r="C158" s="32">
        <v>13</v>
      </c>
      <c r="D158" s="32">
        <v>10</v>
      </c>
      <c r="E158" s="27">
        <v>6</v>
      </c>
      <c r="F158" s="32">
        <v>18</v>
      </c>
      <c r="G158" s="95">
        <v>0</v>
      </c>
    </row>
    <row r="159" spans="1:7" ht="30" x14ac:dyDescent="0.25">
      <c r="A159" s="29" t="s">
        <v>222</v>
      </c>
      <c r="B159" s="31">
        <v>14</v>
      </c>
      <c r="C159" s="31">
        <v>10</v>
      </c>
      <c r="D159" s="31">
        <v>8</v>
      </c>
      <c r="E159" s="27">
        <v>5</v>
      </c>
      <c r="F159" s="31">
        <v>15</v>
      </c>
      <c r="G159" s="95">
        <v>0</v>
      </c>
    </row>
    <row r="160" spans="1:7" ht="30" x14ac:dyDescent="0.25">
      <c r="A160" s="25" t="s">
        <v>223</v>
      </c>
      <c r="B160" s="32">
        <v>14</v>
      </c>
      <c r="C160" s="32">
        <v>14</v>
      </c>
      <c r="D160" s="32">
        <v>13</v>
      </c>
      <c r="E160" s="27">
        <v>19</v>
      </c>
      <c r="F160" s="32">
        <v>22</v>
      </c>
      <c r="G160" s="95">
        <v>0</v>
      </c>
    </row>
    <row r="161" spans="1:7" ht="30" x14ac:dyDescent="0.25">
      <c r="A161" s="29" t="s">
        <v>224</v>
      </c>
      <c r="B161" s="31">
        <v>14</v>
      </c>
      <c r="C161" s="31">
        <v>10</v>
      </c>
      <c r="D161" s="31">
        <v>3</v>
      </c>
      <c r="E161" s="27">
        <v>3</v>
      </c>
      <c r="F161" s="31">
        <v>16</v>
      </c>
      <c r="G161" s="95">
        <v>0</v>
      </c>
    </row>
    <row r="162" spans="1:7" ht="30" x14ac:dyDescent="0.25">
      <c r="A162" s="25" t="s">
        <v>225</v>
      </c>
      <c r="B162" s="32">
        <v>14</v>
      </c>
      <c r="C162" s="32">
        <v>11</v>
      </c>
      <c r="D162" s="32">
        <v>4</v>
      </c>
      <c r="E162" s="27">
        <v>11</v>
      </c>
      <c r="F162" s="32">
        <v>28</v>
      </c>
      <c r="G162" s="95">
        <v>0</v>
      </c>
    </row>
    <row r="163" spans="1:7" ht="30" x14ac:dyDescent="0.25">
      <c r="A163" s="29" t="s">
        <v>226</v>
      </c>
      <c r="B163" s="31">
        <v>14</v>
      </c>
      <c r="C163" s="31">
        <v>10</v>
      </c>
      <c r="D163" s="31">
        <v>7</v>
      </c>
      <c r="E163" s="27">
        <v>8</v>
      </c>
      <c r="F163" s="31">
        <v>17</v>
      </c>
      <c r="G163" s="95">
        <v>0</v>
      </c>
    </row>
    <row r="164" spans="1:7" x14ac:dyDescent="0.25">
      <c r="A164" s="25" t="s">
        <v>227</v>
      </c>
      <c r="B164" s="32">
        <v>14</v>
      </c>
      <c r="C164" s="32">
        <v>9</v>
      </c>
      <c r="D164" s="32">
        <v>3</v>
      </c>
      <c r="E164" s="27">
        <v>7</v>
      </c>
      <c r="F164" s="32">
        <v>0</v>
      </c>
      <c r="G164" s="95">
        <v>0</v>
      </c>
    </row>
    <row r="165" spans="1:7" x14ac:dyDescent="0.25">
      <c r="A165" s="29" t="s">
        <v>228</v>
      </c>
      <c r="B165" s="31">
        <v>13</v>
      </c>
      <c r="C165" s="31">
        <v>13</v>
      </c>
      <c r="D165" s="31">
        <v>10</v>
      </c>
      <c r="E165" s="27">
        <v>0</v>
      </c>
      <c r="F165" s="31">
        <v>0</v>
      </c>
      <c r="G165" s="95">
        <v>0</v>
      </c>
    </row>
    <row r="166" spans="1:7" ht="30" x14ac:dyDescent="0.25">
      <c r="A166" s="25" t="s">
        <v>229</v>
      </c>
      <c r="B166" s="32">
        <v>13</v>
      </c>
      <c r="C166" s="32">
        <v>11</v>
      </c>
      <c r="D166" s="32">
        <v>9</v>
      </c>
      <c r="E166" s="27">
        <v>4</v>
      </c>
      <c r="F166" s="32">
        <v>15</v>
      </c>
      <c r="G166" s="95">
        <v>0</v>
      </c>
    </row>
    <row r="167" spans="1:7" ht="30" x14ac:dyDescent="0.25">
      <c r="A167" s="29" t="s">
        <v>230</v>
      </c>
      <c r="B167" s="31">
        <v>13</v>
      </c>
      <c r="C167" s="31">
        <v>12</v>
      </c>
      <c r="D167" s="31">
        <v>3</v>
      </c>
      <c r="E167" s="27">
        <v>22</v>
      </c>
      <c r="F167" s="31">
        <v>21</v>
      </c>
      <c r="G167" s="95">
        <v>0</v>
      </c>
    </row>
    <row r="168" spans="1:7" ht="30" x14ac:dyDescent="0.25">
      <c r="A168" s="25" t="s">
        <v>231</v>
      </c>
      <c r="B168" s="32">
        <v>13</v>
      </c>
      <c r="C168" s="32">
        <v>9</v>
      </c>
      <c r="D168" s="32">
        <v>6</v>
      </c>
      <c r="E168" s="27">
        <v>6</v>
      </c>
      <c r="F168" s="32">
        <v>23</v>
      </c>
      <c r="G168" s="95">
        <v>0</v>
      </c>
    </row>
    <row r="169" spans="1:7" ht="30" x14ac:dyDescent="0.25">
      <c r="A169" s="29" t="s">
        <v>232</v>
      </c>
      <c r="B169" s="31">
        <v>13</v>
      </c>
      <c r="C169" s="31">
        <v>6</v>
      </c>
      <c r="D169" s="31">
        <v>3</v>
      </c>
      <c r="E169" s="27">
        <v>7</v>
      </c>
      <c r="F169" s="31">
        <v>15</v>
      </c>
      <c r="G169" s="95">
        <v>0</v>
      </c>
    </row>
    <row r="170" spans="1:7" ht="30" x14ac:dyDescent="0.25">
      <c r="A170" s="25" t="s">
        <v>233</v>
      </c>
      <c r="B170" s="32">
        <v>13</v>
      </c>
      <c r="C170" s="32">
        <v>12</v>
      </c>
      <c r="D170" s="32">
        <v>10</v>
      </c>
      <c r="E170" s="27">
        <v>4</v>
      </c>
      <c r="F170" s="32">
        <v>14</v>
      </c>
      <c r="G170" s="95">
        <v>0</v>
      </c>
    </row>
    <row r="171" spans="1:7" ht="30" x14ac:dyDescent="0.25">
      <c r="A171" s="29" t="s">
        <v>234</v>
      </c>
      <c r="B171" s="31">
        <v>13</v>
      </c>
      <c r="C171" s="31">
        <v>13</v>
      </c>
      <c r="D171" s="31">
        <v>8</v>
      </c>
      <c r="E171" s="27">
        <v>12</v>
      </c>
      <c r="F171" s="31">
        <v>19</v>
      </c>
      <c r="G171" s="95">
        <v>0</v>
      </c>
    </row>
    <row r="172" spans="1:7" ht="30" x14ac:dyDescent="0.25">
      <c r="A172" s="25" t="s">
        <v>235</v>
      </c>
      <c r="B172" s="32">
        <v>13</v>
      </c>
      <c r="C172" s="32">
        <v>11</v>
      </c>
      <c r="D172" s="32">
        <v>9</v>
      </c>
      <c r="E172" s="27">
        <v>6</v>
      </c>
      <c r="F172" s="32">
        <v>14</v>
      </c>
      <c r="G172" s="95">
        <v>0</v>
      </c>
    </row>
    <row r="173" spans="1:7" ht="30" x14ac:dyDescent="0.25">
      <c r="A173" s="29" t="s">
        <v>236</v>
      </c>
      <c r="B173" s="31">
        <v>13</v>
      </c>
      <c r="C173" s="31">
        <v>10</v>
      </c>
      <c r="D173" s="31">
        <v>8</v>
      </c>
      <c r="E173" s="27">
        <v>4</v>
      </c>
      <c r="F173" s="31">
        <v>15</v>
      </c>
      <c r="G173" s="95">
        <v>0</v>
      </c>
    </row>
    <row r="174" spans="1:7" ht="30" x14ac:dyDescent="0.25">
      <c r="A174" s="25" t="s">
        <v>237</v>
      </c>
      <c r="B174" s="32">
        <v>13</v>
      </c>
      <c r="C174" s="32">
        <v>9</v>
      </c>
      <c r="D174" s="32">
        <v>5</v>
      </c>
      <c r="E174" s="27">
        <v>5</v>
      </c>
      <c r="F174" s="32">
        <v>13</v>
      </c>
      <c r="G174" s="95">
        <v>0</v>
      </c>
    </row>
    <row r="175" spans="1:7" ht="30" x14ac:dyDescent="0.25">
      <c r="A175" s="29" t="s">
        <v>238</v>
      </c>
      <c r="B175" s="31">
        <v>13</v>
      </c>
      <c r="C175" s="31">
        <v>9</v>
      </c>
      <c r="D175" s="31">
        <v>8</v>
      </c>
      <c r="E175" s="27">
        <v>6</v>
      </c>
      <c r="F175" s="31">
        <v>15</v>
      </c>
      <c r="G175" s="95">
        <v>0</v>
      </c>
    </row>
    <row r="176" spans="1:7" ht="30" x14ac:dyDescent="0.25">
      <c r="A176" s="25" t="s">
        <v>239</v>
      </c>
      <c r="B176" s="32">
        <v>13</v>
      </c>
      <c r="C176" s="32">
        <v>13</v>
      </c>
      <c r="D176" s="32">
        <v>11</v>
      </c>
      <c r="E176" s="27">
        <v>13</v>
      </c>
      <c r="F176" s="32">
        <v>17</v>
      </c>
      <c r="G176" s="95">
        <v>0</v>
      </c>
    </row>
    <row r="177" spans="1:7" ht="30" x14ac:dyDescent="0.25">
      <c r="A177" s="29" t="s">
        <v>240</v>
      </c>
      <c r="B177" s="31">
        <v>13</v>
      </c>
      <c r="C177" s="31">
        <v>12</v>
      </c>
      <c r="D177" s="31">
        <v>7</v>
      </c>
      <c r="E177" s="27">
        <v>3</v>
      </c>
      <c r="F177" s="31">
        <v>13</v>
      </c>
      <c r="G177" s="95">
        <v>0</v>
      </c>
    </row>
    <row r="178" spans="1:7" x14ac:dyDescent="0.25">
      <c r="A178" s="25" t="s">
        <v>241</v>
      </c>
      <c r="B178" s="32">
        <v>12</v>
      </c>
      <c r="C178" s="32">
        <v>7</v>
      </c>
      <c r="D178" s="32">
        <v>5</v>
      </c>
      <c r="E178" s="27">
        <v>0</v>
      </c>
      <c r="F178" s="32">
        <v>0</v>
      </c>
      <c r="G178" s="95">
        <v>0</v>
      </c>
    </row>
    <row r="179" spans="1:7" x14ac:dyDescent="0.25">
      <c r="A179" s="29" t="s">
        <v>242</v>
      </c>
      <c r="B179" s="31">
        <v>12</v>
      </c>
      <c r="C179" s="31">
        <v>9</v>
      </c>
      <c r="D179" s="31">
        <v>4</v>
      </c>
      <c r="E179" s="27">
        <v>70</v>
      </c>
      <c r="F179" s="31">
        <v>0</v>
      </c>
      <c r="G179" s="95">
        <v>0</v>
      </c>
    </row>
    <row r="180" spans="1:7" x14ac:dyDescent="0.25">
      <c r="A180" s="25" t="s">
        <v>243</v>
      </c>
      <c r="B180" s="32">
        <v>12</v>
      </c>
      <c r="C180" s="32">
        <v>7</v>
      </c>
      <c r="D180" s="32">
        <v>6</v>
      </c>
      <c r="E180" s="27">
        <v>2</v>
      </c>
      <c r="F180" s="32">
        <v>0</v>
      </c>
      <c r="G180" s="95">
        <v>0</v>
      </c>
    </row>
    <row r="181" spans="1:7" ht="30" x14ac:dyDescent="0.25">
      <c r="A181" s="29" t="s">
        <v>244</v>
      </c>
      <c r="B181" s="31">
        <v>12</v>
      </c>
      <c r="C181" s="31">
        <v>11</v>
      </c>
      <c r="D181" s="31">
        <v>6</v>
      </c>
      <c r="E181" s="27">
        <v>6</v>
      </c>
      <c r="F181" s="31">
        <v>17</v>
      </c>
      <c r="G181" s="95">
        <v>0</v>
      </c>
    </row>
    <row r="182" spans="1:7" ht="30" x14ac:dyDescent="0.25">
      <c r="A182" s="25" t="s">
        <v>245</v>
      </c>
      <c r="B182" s="32">
        <v>12</v>
      </c>
      <c r="C182" s="32">
        <v>10</v>
      </c>
      <c r="D182" s="32">
        <v>9</v>
      </c>
      <c r="E182" s="27">
        <v>14</v>
      </c>
      <c r="F182" s="32">
        <v>23</v>
      </c>
      <c r="G182" s="95">
        <v>0</v>
      </c>
    </row>
    <row r="183" spans="1:7" ht="30" x14ac:dyDescent="0.25">
      <c r="A183" s="29" t="s">
        <v>246</v>
      </c>
      <c r="B183" s="31">
        <v>12</v>
      </c>
      <c r="C183" s="31">
        <v>8</v>
      </c>
      <c r="D183" s="31">
        <v>4</v>
      </c>
      <c r="E183" s="27">
        <v>3</v>
      </c>
      <c r="F183" s="31">
        <v>12</v>
      </c>
      <c r="G183" s="95">
        <v>0</v>
      </c>
    </row>
    <row r="184" spans="1:7" ht="30" x14ac:dyDescent="0.25">
      <c r="A184" s="25" t="s">
        <v>247</v>
      </c>
      <c r="B184" s="32">
        <v>12</v>
      </c>
      <c r="C184" s="32">
        <v>8</v>
      </c>
      <c r="D184" s="32">
        <v>2</v>
      </c>
      <c r="E184" s="27">
        <v>9</v>
      </c>
      <c r="F184" s="32">
        <v>15</v>
      </c>
      <c r="G184" s="95">
        <v>0</v>
      </c>
    </row>
    <row r="185" spans="1:7" ht="30" x14ac:dyDescent="0.25">
      <c r="A185" s="29" t="s">
        <v>248</v>
      </c>
      <c r="B185" s="31">
        <v>12</v>
      </c>
      <c r="C185" s="31">
        <v>10</v>
      </c>
      <c r="D185" s="31">
        <v>6</v>
      </c>
      <c r="E185" s="27">
        <v>28</v>
      </c>
      <c r="F185" s="31">
        <v>23</v>
      </c>
      <c r="G185" s="95">
        <v>0</v>
      </c>
    </row>
    <row r="186" spans="1:7" ht="30" x14ac:dyDescent="0.25">
      <c r="A186" s="25" t="s">
        <v>249</v>
      </c>
      <c r="B186" s="32">
        <v>12</v>
      </c>
      <c r="C186" s="32">
        <v>9</v>
      </c>
      <c r="D186" s="32">
        <v>4</v>
      </c>
      <c r="E186" s="27">
        <v>20</v>
      </c>
      <c r="F186" s="32">
        <v>25</v>
      </c>
      <c r="G186" s="95">
        <v>0</v>
      </c>
    </row>
    <row r="187" spans="1:7" ht="30" x14ac:dyDescent="0.25">
      <c r="A187" s="29" t="s">
        <v>250</v>
      </c>
      <c r="B187" s="31">
        <v>12</v>
      </c>
      <c r="C187" s="31">
        <v>8</v>
      </c>
      <c r="D187" s="31">
        <v>8</v>
      </c>
      <c r="E187" s="27">
        <v>22</v>
      </c>
      <c r="F187" s="31">
        <v>18</v>
      </c>
      <c r="G187" s="95">
        <v>0</v>
      </c>
    </row>
    <row r="188" spans="1:7" ht="30" x14ac:dyDescent="0.25">
      <c r="A188" s="25" t="s">
        <v>251</v>
      </c>
      <c r="B188" s="32">
        <v>12</v>
      </c>
      <c r="C188" s="32">
        <v>7</v>
      </c>
      <c r="D188" s="32">
        <v>3</v>
      </c>
      <c r="E188" s="27">
        <v>3</v>
      </c>
      <c r="F188" s="32">
        <v>17</v>
      </c>
      <c r="G188" s="95">
        <v>0</v>
      </c>
    </row>
    <row r="189" spans="1:7" x14ac:dyDescent="0.25">
      <c r="A189" s="29" t="s">
        <v>252</v>
      </c>
      <c r="B189" s="31">
        <v>12</v>
      </c>
      <c r="C189" s="31">
        <v>6</v>
      </c>
      <c r="D189" s="31">
        <v>1</v>
      </c>
      <c r="E189" s="27">
        <v>2</v>
      </c>
      <c r="F189" s="31">
        <v>0</v>
      </c>
      <c r="G189" s="95">
        <v>0</v>
      </c>
    </row>
    <row r="190" spans="1:7" ht="30" x14ac:dyDescent="0.25">
      <c r="A190" s="25" t="s">
        <v>253</v>
      </c>
      <c r="B190" s="32">
        <v>11</v>
      </c>
      <c r="C190" s="32">
        <v>10</v>
      </c>
      <c r="D190" s="32">
        <v>7</v>
      </c>
      <c r="E190" s="27">
        <v>9</v>
      </c>
      <c r="F190" s="32">
        <v>20</v>
      </c>
      <c r="G190" s="95">
        <v>0</v>
      </c>
    </row>
    <row r="191" spans="1:7" ht="30" x14ac:dyDescent="0.25">
      <c r="A191" s="29" t="s">
        <v>254</v>
      </c>
      <c r="B191" s="31">
        <v>11</v>
      </c>
      <c r="C191" s="31">
        <v>10</v>
      </c>
      <c r="D191" s="31">
        <v>6</v>
      </c>
      <c r="E191" s="27">
        <v>8</v>
      </c>
      <c r="F191" s="31">
        <v>11</v>
      </c>
      <c r="G191" s="95">
        <v>0</v>
      </c>
    </row>
    <row r="192" spans="1:7" ht="30" x14ac:dyDescent="0.25">
      <c r="A192" s="25" t="s">
        <v>255</v>
      </c>
      <c r="B192" s="32">
        <v>11</v>
      </c>
      <c r="C192" s="32">
        <v>9</v>
      </c>
      <c r="D192" s="32">
        <v>7</v>
      </c>
      <c r="E192" s="27">
        <v>8</v>
      </c>
      <c r="F192" s="32">
        <v>13</v>
      </c>
      <c r="G192" s="95">
        <v>0</v>
      </c>
    </row>
    <row r="193" spans="1:7" ht="30" x14ac:dyDescent="0.25">
      <c r="A193" s="29" t="s">
        <v>256</v>
      </c>
      <c r="B193" s="31">
        <v>11</v>
      </c>
      <c r="C193" s="31">
        <v>8</v>
      </c>
      <c r="D193" s="31">
        <v>1</v>
      </c>
      <c r="E193" s="27">
        <v>1</v>
      </c>
      <c r="F193" s="31">
        <v>12</v>
      </c>
      <c r="G193" s="95">
        <v>0</v>
      </c>
    </row>
    <row r="194" spans="1:7" ht="30" x14ac:dyDescent="0.25">
      <c r="A194" s="25" t="s">
        <v>257</v>
      </c>
      <c r="B194" s="32">
        <v>11</v>
      </c>
      <c r="C194" s="32">
        <v>8</v>
      </c>
      <c r="D194" s="32">
        <v>4</v>
      </c>
      <c r="E194" s="27">
        <v>6</v>
      </c>
      <c r="F194" s="32">
        <v>15</v>
      </c>
      <c r="G194" s="95">
        <v>0</v>
      </c>
    </row>
    <row r="195" spans="1:7" ht="30" x14ac:dyDescent="0.25">
      <c r="A195" s="29" t="s">
        <v>258</v>
      </c>
      <c r="B195" s="31">
        <v>11</v>
      </c>
      <c r="C195" s="31">
        <v>11</v>
      </c>
      <c r="D195" s="31">
        <v>8</v>
      </c>
      <c r="E195" s="27">
        <v>6</v>
      </c>
      <c r="F195" s="31">
        <v>13</v>
      </c>
      <c r="G195" s="95">
        <v>0</v>
      </c>
    </row>
    <row r="196" spans="1:7" ht="30" x14ac:dyDescent="0.25">
      <c r="A196" s="25" t="s">
        <v>259</v>
      </c>
      <c r="B196" s="32">
        <v>11</v>
      </c>
      <c r="C196" s="32">
        <v>8</v>
      </c>
      <c r="D196" s="32">
        <v>7</v>
      </c>
      <c r="E196" s="27">
        <v>9</v>
      </c>
      <c r="F196" s="32">
        <v>9</v>
      </c>
      <c r="G196" s="95">
        <v>0</v>
      </c>
    </row>
    <row r="197" spans="1:7" ht="30" x14ac:dyDescent="0.25">
      <c r="A197" s="29" t="s">
        <v>260</v>
      </c>
      <c r="B197" s="31">
        <v>11</v>
      </c>
      <c r="C197" s="31">
        <v>11</v>
      </c>
      <c r="D197" s="31">
        <v>8</v>
      </c>
      <c r="E197" s="27">
        <v>21</v>
      </c>
      <c r="F197" s="31">
        <v>18</v>
      </c>
      <c r="G197" s="95">
        <v>0</v>
      </c>
    </row>
    <row r="198" spans="1:7" ht="30" x14ac:dyDescent="0.25">
      <c r="A198" s="25" t="s">
        <v>261</v>
      </c>
      <c r="B198" s="32">
        <v>11</v>
      </c>
      <c r="C198" s="32">
        <v>9</v>
      </c>
      <c r="D198" s="32">
        <v>2</v>
      </c>
      <c r="E198" s="27">
        <v>36</v>
      </c>
      <c r="F198" s="32">
        <v>20</v>
      </c>
      <c r="G198" s="95">
        <v>0</v>
      </c>
    </row>
    <row r="199" spans="1:7" ht="30" x14ac:dyDescent="0.25">
      <c r="A199" s="29" t="s">
        <v>262</v>
      </c>
      <c r="B199" s="31">
        <v>11</v>
      </c>
      <c r="C199" s="31">
        <v>5</v>
      </c>
      <c r="D199" s="31">
        <v>2</v>
      </c>
      <c r="E199" s="27">
        <v>0</v>
      </c>
      <c r="F199" s="31">
        <v>12</v>
      </c>
      <c r="G199" s="95">
        <v>0</v>
      </c>
    </row>
    <row r="200" spans="1:7" x14ac:dyDescent="0.25">
      <c r="A200" s="25" t="s">
        <v>263</v>
      </c>
      <c r="B200" s="32">
        <v>11</v>
      </c>
      <c r="C200" s="32">
        <v>11</v>
      </c>
      <c r="D200" s="32">
        <v>8</v>
      </c>
      <c r="E200" s="27">
        <v>3</v>
      </c>
      <c r="F200" s="32">
        <v>0</v>
      </c>
      <c r="G200" s="95">
        <v>0</v>
      </c>
    </row>
    <row r="201" spans="1:7" x14ac:dyDescent="0.25">
      <c r="A201" s="29" t="s">
        <v>264</v>
      </c>
      <c r="B201" s="31">
        <v>10</v>
      </c>
      <c r="C201" s="31">
        <v>10</v>
      </c>
      <c r="D201" s="31">
        <v>8</v>
      </c>
      <c r="E201" s="27">
        <v>0</v>
      </c>
      <c r="F201" s="31">
        <v>0</v>
      </c>
      <c r="G201" s="95">
        <v>0</v>
      </c>
    </row>
    <row r="202" spans="1:7" ht="30" x14ac:dyDescent="0.25">
      <c r="A202" s="25" t="s">
        <v>265</v>
      </c>
      <c r="B202" s="32">
        <v>10</v>
      </c>
      <c r="C202" s="32">
        <v>10</v>
      </c>
      <c r="D202" s="32">
        <v>5</v>
      </c>
      <c r="E202" s="27">
        <v>6</v>
      </c>
      <c r="F202" s="32">
        <v>14</v>
      </c>
      <c r="G202" s="95">
        <v>0</v>
      </c>
    </row>
    <row r="203" spans="1:7" ht="30" x14ac:dyDescent="0.25">
      <c r="A203" s="29" t="s">
        <v>266</v>
      </c>
      <c r="B203" s="31">
        <v>10</v>
      </c>
      <c r="C203" s="31">
        <v>10</v>
      </c>
      <c r="D203" s="31">
        <v>7</v>
      </c>
      <c r="E203" s="27">
        <v>4</v>
      </c>
      <c r="F203" s="31">
        <v>12</v>
      </c>
      <c r="G203" s="95">
        <v>0</v>
      </c>
    </row>
    <row r="204" spans="1:7" ht="30" x14ac:dyDescent="0.25">
      <c r="A204" s="25" t="s">
        <v>267</v>
      </c>
      <c r="B204" s="32">
        <v>10</v>
      </c>
      <c r="C204" s="32">
        <v>9</v>
      </c>
      <c r="D204" s="32">
        <v>4</v>
      </c>
      <c r="E204" s="27">
        <v>12</v>
      </c>
      <c r="F204" s="32">
        <v>17</v>
      </c>
      <c r="G204" s="95">
        <v>0</v>
      </c>
    </row>
    <row r="205" spans="1:7" ht="30" x14ac:dyDescent="0.25">
      <c r="A205" s="29" t="s">
        <v>268</v>
      </c>
      <c r="B205" s="31">
        <v>10</v>
      </c>
      <c r="C205" s="31">
        <v>9</v>
      </c>
      <c r="D205" s="31">
        <v>8</v>
      </c>
      <c r="E205" s="27">
        <v>8</v>
      </c>
      <c r="F205" s="31">
        <v>9</v>
      </c>
      <c r="G205" s="95">
        <v>0</v>
      </c>
    </row>
    <row r="206" spans="1:7" ht="30" x14ac:dyDescent="0.25">
      <c r="A206" s="25" t="s">
        <v>269</v>
      </c>
      <c r="B206" s="32">
        <v>10</v>
      </c>
      <c r="C206" s="32">
        <v>7</v>
      </c>
      <c r="D206" s="32">
        <v>4</v>
      </c>
      <c r="E206" s="27">
        <v>7</v>
      </c>
      <c r="F206" s="32">
        <v>12</v>
      </c>
      <c r="G206" s="95">
        <v>0</v>
      </c>
    </row>
    <row r="207" spans="1:7" x14ac:dyDescent="0.25">
      <c r="A207" s="29" t="s">
        <v>270</v>
      </c>
      <c r="B207" s="31">
        <v>9</v>
      </c>
      <c r="C207" s="31">
        <v>4</v>
      </c>
      <c r="D207" s="31">
        <v>0</v>
      </c>
      <c r="E207" s="27">
        <v>8</v>
      </c>
      <c r="F207" s="31">
        <v>0</v>
      </c>
      <c r="G207" s="95">
        <v>0</v>
      </c>
    </row>
    <row r="208" spans="1:7" ht="30" x14ac:dyDescent="0.25">
      <c r="A208" s="25" t="s">
        <v>271</v>
      </c>
      <c r="B208" s="32">
        <v>9</v>
      </c>
      <c r="C208" s="32">
        <v>9</v>
      </c>
      <c r="D208" s="32">
        <v>9</v>
      </c>
      <c r="E208" s="27">
        <v>8</v>
      </c>
      <c r="F208" s="32">
        <v>12</v>
      </c>
      <c r="G208" s="95">
        <v>0</v>
      </c>
    </row>
    <row r="209" spans="1:7" ht="30" x14ac:dyDescent="0.25">
      <c r="A209" s="29" t="s">
        <v>272</v>
      </c>
      <c r="B209" s="31">
        <v>9</v>
      </c>
      <c r="C209" s="31">
        <v>6</v>
      </c>
      <c r="D209" s="31">
        <v>4</v>
      </c>
      <c r="E209" s="27">
        <v>5</v>
      </c>
      <c r="F209" s="31">
        <v>15</v>
      </c>
      <c r="G209" s="95">
        <v>0</v>
      </c>
    </row>
    <row r="210" spans="1:7" ht="30" x14ac:dyDescent="0.25">
      <c r="A210" s="25" t="s">
        <v>273</v>
      </c>
      <c r="B210" s="32">
        <v>9</v>
      </c>
      <c r="C210" s="32">
        <v>8</v>
      </c>
      <c r="D210" s="32">
        <v>3</v>
      </c>
      <c r="E210" s="27">
        <v>7</v>
      </c>
      <c r="F210" s="32">
        <v>17</v>
      </c>
      <c r="G210" s="95">
        <v>0</v>
      </c>
    </row>
    <row r="211" spans="1:7" ht="30" x14ac:dyDescent="0.25">
      <c r="A211" s="29" t="s">
        <v>274</v>
      </c>
      <c r="B211" s="31">
        <v>9</v>
      </c>
      <c r="C211" s="31">
        <v>9</v>
      </c>
      <c r="D211" s="31">
        <v>6</v>
      </c>
      <c r="E211" s="27">
        <v>9</v>
      </c>
      <c r="F211" s="31">
        <v>15</v>
      </c>
      <c r="G211" s="95">
        <v>0</v>
      </c>
    </row>
    <row r="212" spans="1:7" ht="30" x14ac:dyDescent="0.25">
      <c r="A212" s="25" t="s">
        <v>275</v>
      </c>
      <c r="B212" s="32">
        <v>9</v>
      </c>
      <c r="C212" s="32">
        <v>9</v>
      </c>
      <c r="D212" s="32">
        <v>5</v>
      </c>
      <c r="E212" s="27">
        <v>10</v>
      </c>
      <c r="F212" s="32">
        <v>14</v>
      </c>
      <c r="G212" s="95">
        <v>0</v>
      </c>
    </row>
    <row r="213" spans="1:7" ht="30" x14ac:dyDescent="0.25">
      <c r="A213" s="29" t="s">
        <v>276</v>
      </c>
      <c r="B213" s="31">
        <v>9</v>
      </c>
      <c r="C213" s="31">
        <v>7</v>
      </c>
      <c r="D213" s="31">
        <v>5</v>
      </c>
      <c r="E213" s="27">
        <v>5</v>
      </c>
      <c r="F213" s="31">
        <v>9</v>
      </c>
      <c r="G213" s="95">
        <v>0</v>
      </c>
    </row>
    <row r="214" spans="1:7" ht="30" x14ac:dyDescent="0.25">
      <c r="A214" s="25" t="s">
        <v>277</v>
      </c>
      <c r="B214" s="32">
        <v>9</v>
      </c>
      <c r="C214" s="32">
        <v>9</v>
      </c>
      <c r="D214" s="32">
        <v>8</v>
      </c>
      <c r="E214" s="27">
        <v>5</v>
      </c>
      <c r="F214" s="32">
        <v>13</v>
      </c>
      <c r="G214" s="95">
        <v>0</v>
      </c>
    </row>
    <row r="215" spans="1:7" ht="30" x14ac:dyDescent="0.25">
      <c r="A215" s="29" t="s">
        <v>278</v>
      </c>
      <c r="B215" s="31">
        <v>9</v>
      </c>
      <c r="C215" s="31">
        <v>9</v>
      </c>
      <c r="D215" s="31">
        <v>3</v>
      </c>
      <c r="E215" s="27">
        <v>12</v>
      </c>
      <c r="F215" s="31">
        <v>11</v>
      </c>
      <c r="G215" s="95">
        <v>0</v>
      </c>
    </row>
    <row r="216" spans="1:7" ht="30" x14ac:dyDescent="0.25">
      <c r="A216" s="25" t="s">
        <v>279</v>
      </c>
      <c r="B216" s="32">
        <v>9</v>
      </c>
      <c r="C216" s="32">
        <v>8</v>
      </c>
      <c r="D216" s="32">
        <v>7</v>
      </c>
      <c r="E216" s="27">
        <v>12</v>
      </c>
      <c r="F216" s="32">
        <v>12</v>
      </c>
      <c r="G216" s="95">
        <v>0</v>
      </c>
    </row>
    <row r="217" spans="1:7" ht="30" x14ac:dyDescent="0.25">
      <c r="A217" s="29" t="s">
        <v>280</v>
      </c>
      <c r="B217" s="31">
        <v>9</v>
      </c>
      <c r="C217" s="31">
        <v>5</v>
      </c>
      <c r="D217" s="31">
        <v>4</v>
      </c>
      <c r="E217" s="27">
        <v>10</v>
      </c>
      <c r="F217" s="31">
        <v>21</v>
      </c>
      <c r="G217" s="95">
        <v>0</v>
      </c>
    </row>
    <row r="218" spans="1:7" ht="30" x14ac:dyDescent="0.25">
      <c r="A218" s="25" t="s">
        <v>281</v>
      </c>
      <c r="B218" s="32">
        <v>9</v>
      </c>
      <c r="C218" s="32">
        <v>9</v>
      </c>
      <c r="D218" s="32">
        <v>1</v>
      </c>
      <c r="E218" s="27">
        <v>0</v>
      </c>
      <c r="F218" s="32">
        <v>23</v>
      </c>
      <c r="G218" s="95">
        <v>0</v>
      </c>
    </row>
    <row r="219" spans="1:7" ht="30" x14ac:dyDescent="0.25">
      <c r="A219" s="29" t="s">
        <v>282</v>
      </c>
      <c r="B219" s="31">
        <v>8</v>
      </c>
      <c r="C219" s="31">
        <v>7</v>
      </c>
      <c r="D219" s="31">
        <v>6</v>
      </c>
      <c r="E219" s="27">
        <v>9</v>
      </c>
      <c r="F219" s="31">
        <v>10</v>
      </c>
      <c r="G219" s="95">
        <v>0</v>
      </c>
    </row>
    <row r="220" spans="1:7" ht="30" x14ac:dyDescent="0.25">
      <c r="A220" s="25" t="s">
        <v>283</v>
      </c>
      <c r="B220" s="32">
        <v>8</v>
      </c>
      <c r="C220" s="32">
        <v>8</v>
      </c>
      <c r="D220" s="32">
        <v>6</v>
      </c>
      <c r="E220" s="27">
        <v>1</v>
      </c>
      <c r="F220" s="32">
        <v>8</v>
      </c>
      <c r="G220" s="95">
        <v>0</v>
      </c>
    </row>
    <row r="221" spans="1:7" ht="30" x14ac:dyDescent="0.25">
      <c r="A221" s="29" t="s">
        <v>284</v>
      </c>
      <c r="B221" s="31">
        <v>8</v>
      </c>
      <c r="C221" s="31">
        <v>7</v>
      </c>
      <c r="D221" s="31">
        <v>2</v>
      </c>
      <c r="E221" s="27">
        <v>2</v>
      </c>
      <c r="F221" s="31">
        <v>6</v>
      </c>
      <c r="G221" s="95">
        <v>0</v>
      </c>
    </row>
    <row r="222" spans="1:7" ht="30" x14ac:dyDescent="0.25">
      <c r="A222" s="25" t="s">
        <v>285</v>
      </c>
      <c r="B222" s="32">
        <v>8</v>
      </c>
      <c r="C222" s="32">
        <v>8</v>
      </c>
      <c r="D222" s="32">
        <v>7</v>
      </c>
      <c r="E222" s="27">
        <v>5</v>
      </c>
      <c r="F222" s="32">
        <v>9</v>
      </c>
      <c r="G222" s="95">
        <v>0</v>
      </c>
    </row>
    <row r="223" spans="1:7" ht="30" x14ac:dyDescent="0.25">
      <c r="A223" s="29" t="s">
        <v>286</v>
      </c>
      <c r="B223" s="31">
        <v>8</v>
      </c>
      <c r="C223" s="31">
        <v>3</v>
      </c>
      <c r="D223" s="31">
        <v>3</v>
      </c>
      <c r="E223" s="27">
        <v>1</v>
      </c>
      <c r="F223" s="31">
        <v>8</v>
      </c>
      <c r="G223" s="95">
        <v>0</v>
      </c>
    </row>
    <row r="224" spans="1:7" ht="30" x14ac:dyDescent="0.25">
      <c r="A224" s="25" t="s">
        <v>287</v>
      </c>
      <c r="B224" s="32">
        <v>8</v>
      </c>
      <c r="C224" s="32">
        <v>7</v>
      </c>
      <c r="D224" s="32">
        <v>5</v>
      </c>
      <c r="E224" s="27">
        <v>10</v>
      </c>
      <c r="F224" s="32">
        <v>10</v>
      </c>
      <c r="G224" s="95">
        <v>0</v>
      </c>
    </row>
    <row r="225" spans="1:7" ht="30" x14ac:dyDescent="0.25">
      <c r="A225" s="29" t="s">
        <v>288</v>
      </c>
      <c r="B225" s="31">
        <v>8</v>
      </c>
      <c r="C225" s="31">
        <v>8</v>
      </c>
      <c r="D225" s="31">
        <v>3</v>
      </c>
      <c r="E225" s="27">
        <v>5</v>
      </c>
      <c r="F225" s="31">
        <v>12</v>
      </c>
      <c r="G225" s="95">
        <v>0</v>
      </c>
    </row>
    <row r="226" spans="1:7" ht="30" x14ac:dyDescent="0.25">
      <c r="A226" s="25" t="s">
        <v>289</v>
      </c>
      <c r="B226" s="32">
        <v>8</v>
      </c>
      <c r="C226" s="32">
        <v>7</v>
      </c>
      <c r="D226" s="32">
        <v>5</v>
      </c>
      <c r="E226" s="27">
        <v>6</v>
      </c>
      <c r="F226" s="32">
        <v>7</v>
      </c>
      <c r="G226" s="95">
        <v>0</v>
      </c>
    </row>
    <row r="227" spans="1:7" ht="30" x14ac:dyDescent="0.25">
      <c r="A227" s="29" t="s">
        <v>290</v>
      </c>
      <c r="B227" s="31">
        <v>8</v>
      </c>
      <c r="C227" s="31">
        <v>4</v>
      </c>
      <c r="D227" s="31">
        <v>2</v>
      </c>
      <c r="E227" s="27">
        <v>88</v>
      </c>
      <c r="F227" s="31">
        <v>9</v>
      </c>
      <c r="G227" s="95">
        <v>0</v>
      </c>
    </row>
    <row r="228" spans="1:7" ht="30" x14ac:dyDescent="0.25">
      <c r="A228" s="25" t="s">
        <v>291</v>
      </c>
      <c r="B228" s="32">
        <v>8</v>
      </c>
      <c r="C228" s="32">
        <v>6</v>
      </c>
      <c r="D228" s="32">
        <v>3</v>
      </c>
      <c r="E228" s="27">
        <v>10</v>
      </c>
      <c r="F228" s="32">
        <v>7</v>
      </c>
      <c r="G228" s="95">
        <v>0</v>
      </c>
    </row>
    <row r="229" spans="1:7" ht="30" x14ac:dyDescent="0.25">
      <c r="A229" s="29" t="s">
        <v>292</v>
      </c>
      <c r="B229" s="31">
        <v>8</v>
      </c>
      <c r="C229" s="31">
        <v>6</v>
      </c>
      <c r="D229" s="31">
        <v>1</v>
      </c>
      <c r="E229" s="27">
        <v>8</v>
      </c>
      <c r="F229" s="31">
        <v>11</v>
      </c>
      <c r="G229" s="95">
        <v>0</v>
      </c>
    </row>
    <row r="230" spans="1:7" x14ac:dyDescent="0.25">
      <c r="A230" s="25" t="s">
        <v>293</v>
      </c>
      <c r="B230" s="32">
        <v>8</v>
      </c>
      <c r="C230" s="32">
        <v>8</v>
      </c>
      <c r="D230" s="32">
        <v>8</v>
      </c>
      <c r="E230" s="27">
        <v>10</v>
      </c>
      <c r="F230" s="32">
        <v>0</v>
      </c>
      <c r="G230" s="95">
        <v>0</v>
      </c>
    </row>
    <row r="231" spans="1:7" x14ac:dyDescent="0.25">
      <c r="A231" s="29" t="s">
        <v>294</v>
      </c>
      <c r="B231" s="31">
        <v>7</v>
      </c>
      <c r="C231" s="31">
        <v>4</v>
      </c>
      <c r="D231" s="31">
        <v>0</v>
      </c>
      <c r="E231" s="27">
        <v>3</v>
      </c>
      <c r="F231" s="31">
        <v>0</v>
      </c>
      <c r="G231" s="95">
        <v>0</v>
      </c>
    </row>
    <row r="232" spans="1:7" x14ac:dyDescent="0.25">
      <c r="A232" s="25" t="s">
        <v>295</v>
      </c>
      <c r="B232" s="32">
        <v>7</v>
      </c>
      <c r="C232" s="32">
        <v>6</v>
      </c>
      <c r="D232" s="32">
        <v>0</v>
      </c>
      <c r="E232" s="27">
        <v>0</v>
      </c>
      <c r="F232" s="32">
        <v>0</v>
      </c>
      <c r="G232" s="95">
        <v>0</v>
      </c>
    </row>
    <row r="233" spans="1:7" x14ac:dyDescent="0.25">
      <c r="A233" s="29" t="s">
        <v>296</v>
      </c>
      <c r="B233" s="31">
        <v>7</v>
      </c>
      <c r="C233" s="31">
        <v>4</v>
      </c>
      <c r="D233" s="31">
        <v>0</v>
      </c>
      <c r="E233" s="27">
        <v>0</v>
      </c>
      <c r="F233" s="31">
        <v>0</v>
      </c>
      <c r="G233" s="95">
        <v>0</v>
      </c>
    </row>
    <row r="234" spans="1:7" ht="30" x14ac:dyDescent="0.25">
      <c r="A234" s="25" t="s">
        <v>297</v>
      </c>
      <c r="B234" s="32">
        <v>7</v>
      </c>
      <c r="C234" s="32">
        <v>6</v>
      </c>
      <c r="D234" s="32">
        <v>3</v>
      </c>
      <c r="E234" s="27">
        <v>20</v>
      </c>
      <c r="F234" s="32">
        <v>11</v>
      </c>
      <c r="G234" s="95">
        <v>0</v>
      </c>
    </row>
    <row r="235" spans="1:7" ht="30" x14ac:dyDescent="0.25">
      <c r="A235" s="29" t="s">
        <v>298</v>
      </c>
      <c r="B235" s="31">
        <v>7</v>
      </c>
      <c r="C235" s="31">
        <v>6</v>
      </c>
      <c r="D235" s="31">
        <v>4</v>
      </c>
      <c r="E235" s="27">
        <v>14</v>
      </c>
      <c r="F235" s="31">
        <v>10</v>
      </c>
      <c r="G235" s="95">
        <v>0</v>
      </c>
    </row>
    <row r="236" spans="1:7" ht="30" x14ac:dyDescent="0.25">
      <c r="A236" s="25" t="s">
        <v>299</v>
      </c>
      <c r="B236" s="32">
        <v>7</v>
      </c>
      <c r="C236" s="32">
        <v>6</v>
      </c>
      <c r="D236" s="32">
        <v>3</v>
      </c>
      <c r="E236" s="27">
        <v>6</v>
      </c>
      <c r="F236" s="32">
        <v>8</v>
      </c>
      <c r="G236" s="95">
        <v>0</v>
      </c>
    </row>
    <row r="237" spans="1:7" ht="30" x14ac:dyDescent="0.25">
      <c r="A237" s="29" t="s">
        <v>300</v>
      </c>
      <c r="B237" s="31">
        <v>7</v>
      </c>
      <c r="C237" s="31">
        <v>7</v>
      </c>
      <c r="D237" s="31">
        <v>6</v>
      </c>
      <c r="E237" s="27">
        <v>3</v>
      </c>
      <c r="F237" s="31">
        <v>7</v>
      </c>
      <c r="G237" s="95">
        <v>0</v>
      </c>
    </row>
    <row r="238" spans="1:7" ht="30" x14ac:dyDescent="0.25">
      <c r="A238" s="25" t="s">
        <v>301</v>
      </c>
      <c r="B238" s="32">
        <v>7</v>
      </c>
      <c r="C238" s="32">
        <v>6</v>
      </c>
      <c r="D238" s="32">
        <v>1</v>
      </c>
      <c r="E238" s="27">
        <v>16</v>
      </c>
      <c r="F238" s="32">
        <v>10</v>
      </c>
      <c r="G238" s="95">
        <v>0</v>
      </c>
    </row>
    <row r="239" spans="1:7" ht="30" x14ac:dyDescent="0.25">
      <c r="A239" s="29" t="s">
        <v>302</v>
      </c>
      <c r="B239" s="31">
        <v>7</v>
      </c>
      <c r="C239" s="31">
        <v>6</v>
      </c>
      <c r="D239" s="31">
        <v>4</v>
      </c>
      <c r="E239" s="27">
        <v>30</v>
      </c>
      <c r="F239" s="31">
        <v>18</v>
      </c>
      <c r="G239" s="95">
        <v>0</v>
      </c>
    </row>
    <row r="240" spans="1:7" ht="30" x14ac:dyDescent="0.25">
      <c r="A240" s="25" t="s">
        <v>303</v>
      </c>
      <c r="B240" s="32">
        <v>7</v>
      </c>
      <c r="C240" s="32">
        <v>5</v>
      </c>
      <c r="D240" s="32">
        <v>4</v>
      </c>
      <c r="E240" s="27">
        <v>0</v>
      </c>
      <c r="F240" s="32">
        <v>7</v>
      </c>
      <c r="G240" s="95">
        <v>0</v>
      </c>
    </row>
    <row r="241" spans="1:7" ht="30" x14ac:dyDescent="0.25">
      <c r="A241" s="29" t="s">
        <v>304</v>
      </c>
      <c r="B241" s="31">
        <v>7</v>
      </c>
      <c r="C241" s="31">
        <v>7</v>
      </c>
      <c r="D241" s="31">
        <v>7</v>
      </c>
      <c r="E241" s="27">
        <v>4</v>
      </c>
      <c r="F241" s="31">
        <v>0</v>
      </c>
      <c r="G241" s="95">
        <v>0</v>
      </c>
    </row>
    <row r="242" spans="1:7" ht="30" x14ac:dyDescent="0.25">
      <c r="A242" s="25" t="s">
        <v>305</v>
      </c>
      <c r="B242" s="32">
        <v>7</v>
      </c>
      <c r="C242" s="32">
        <v>6</v>
      </c>
      <c r="D242" s="32">
        <v>5</v>
      </c>
      <c r="E242" s="27">
        <v>18</v>
      </c>
      <c r="F242" s="32">
        <v>11</v>
      </c>
      <c r="G242" s="95">
        <v>0</v>
      </c>
    </row>
    <row r="243" spans="1:7" ht="30" x14ac:dyDescent="0.25">
      <c r="A243" s="29" t="s">
        <v>306</v>
      </c>
      <c r="B243" s="31">
        <v>7</v>
      </c>
      <c r="C243" s="31">
        <v>6</v>
      </c>
      <c r="D243" s="31">
        <v>4</v>
      </c>
      <c r="E243" s="27">
        <v>12</v>
      </c>
      <c r="F243" s="31">
        <v>9</v>
      </c>
      <c r="G243" s="95">
        <v>0</v>
      </c>
    </row>
    <row r="244" spans="1:7" ht="30" x14ac:dyDescent="0.25">
      <c r="A244" s="25" t="s">
        <v>307</v>
      </c>
      <c r="B244" s="32">
        <v>7</v>
      </c>
      <c r="C244" s="32">
        <v>7</v>
      </c>
      <c r="D244" s="32">
        <v>5</v>
      </c>
      <c r="E244" s="27">
        <v>22</v>
      </c>
      <c r="F244" s="32">
        <v>32</v>
      </c>
      <c r="G244" s="95">
        <v>0</v>
      </c>
    </row>
    <row r="245" spans="1:7" ht="30" x14ac:dyDescent="0.25">
      <c r="A245" s="29" t="s">
        <v>308</v>
      </c>
      <c r="B245" s="31">
        <v>7</v>
      </c>
      <c r="C245" s="31">
        <v>6</v>
      </c>
      <c r="D245" s="31">
        <v>4</v>
      </c>
      <c r="E245" s="27">
        <v>8</v>
      </c>
      <c r="F245" s="31">
        <v>24</v>
      </c>
      <c r="G245" s="95">
        <v>0</v>
      </c>
    </row>
    <row r="246" spans="1:7" ht="30" x14ac:dyDescent="0.25">
      <c r="A246" s="25" t="s">
        <v>309</v>
      </c>
      <c r="B246" s="32">
        <v>7</v>
      </c>
      <c r="C246" s="32">
        <v>7</v>
      </c>
      <c r="D246" s="32">
        <v>6</v>
      </c>
      <c r="E246" s="27">
        <v>10</v>
      </c>
      <c r="F246" s="32">
        <v>8</v>
      </c>
      <c r="G246" s="95">
        <v>0</v>
      </c>
    </row>
    <row r="247" spans="1:7" ht="30" x14ac:dyDescent="0.25">
      <c r="A247" s="29" t="s">
        <v>310</v>
      </c>
      <c r="B247" s="31">
        <v>7</v>
      </c>
      <c r="C247" s="31">
        <v>6</v>
      </c>
      <c r="D247" s="31">
        <v>6</v>
      </c>
      <c r="E247" s="27">
        <v>4</v>
      </c>
      <c r="F247" s="31">
        <v>0</v>
      </c>
      <c r="G247" s="95">
        <v>0</v>
      </c>
    </row>
    <row r="248" spans="1:7" ht="30" x14ac:dyDescent="0.25">
      <c r="A248" s="25" t="s">
        <v>311</v>
      </c>
      <c r="B248" s="32">
        <v>7</v>
      </c>
      <c r="C248" s="32">
        <v>6</v>
      </c>
      <c r="D248" s="32">
        <v>5</v>
      </c>
      <c r="E248" s="27">
        <v>9</v>
      </c>
      <c r="F248" s="32">
        <v>22</v>
      </c>
      <c r="G248" s="95">
        <v>0</v>
      </c>
    </row>
    <row r="249" spans="1:7" ht="30" x14ac:dyDescent="0.25">
      <c r="A249" s="29" t="s">
        <v>312</v>
      </c>
      <c r="B249" s="31">
        <v>7</v>
      </c>
      <c r="C249" s="31">
        <v>7</v>
      </c>
      <c r="D249" s="31">
        <v>4</v>
      </c>
      <c r="E249" s="27">
        <v>12</v>
      </c>
      <c r="F249" s="31">
        <v>11</v>
      </c>
      <c r="G249" s="95">
        <v>0</v>
      </c>
    </row>
    <row r="250" spans="1:7" ht="30" x14ac:dyDescent="0.25">
      <c r="A250" s="25" t="s">
        <v>313</v>
      </c>
      <c r="B250" s="32">
        <v>7</v>
      </c>
      <c r="C250" s="32">
        <v>5</v>
      </c>
      <c r="D250" s="32">
        <v>3</v>
      </c>
      <c r="E250" s="27">
        <v>2</v>
      </c>
      <c r="F250" s="32">
        <v>11</v>
      </c>
      <c r="G250" s="95">
        <v>0</v>
      </c>
    </row>
    <row r="251" spans="1:7" ht="30" x14ac:dyDescent="0.25">
      <c r="A251" s="29" t="s">
        <v>314</v>
      </c>
      <c r="B251" s="31">
        <v>7</v>
      </c>
      <c r="C251" s="31">
        <v>3</v>
      </c>
      <c r="D251" s="31">
        <v>0</v>
      </c>
      <c r="E251" s="27">
        <v>6</v>
      </c>
      <c r="F251" s="31">
        <v>13</v>
      </c>
      <c r="G251" s="96">
        <v>0</v>
      </c>
    </row>
    <row r="252" spans="1:7" x14ac:dyDescent="0.25">
      <c r="A252" s="25" t="s">
        <v>315</v>
      </c>
      <c r="B252" s="32">
        <v>7</v>
      </c>
      <c r="C252" s="32">
        <v>6</v>
      </c>
      <c r="D252" s="32">
        <v>3</v>
      </c>
      <c r="E252" s="27">
        <v>5</v>
      </c>
      <c r="F252" s="32">
        <v>0</v>
      </c>
      <c r="G252" s="97">
        <v>0</v>
      </c>
    </row>
    <row r="253" spans="1:7" x14ac:dyDescent="0.25">
      <c r="A253" s="29" t="s">
        <v>316</v>
      </c>
      <c r="B253" s="31">
        <v>7</v>
      </c>
      <c r="C253" s="31">
        <v>6</v>
      </c>
      <c r="D253" s="31">
        <v>6</v>
      </c>
      <c r="E253" s="27">
        <v>5</v>
      </c>
      <c r="F253" s="31">
        <v>0</v>
      </c>
      <c r="G253" s="98">
        <v>0</v>
      </c>
    </row>
    <row r="254" spans="1:7" x14ac:dyDescent="0.25">
      <c r="A254" s="25" t="s">
        <v>317</v>
      </c>
      <c r="B254" s="32">
        <v>7</v>
      </c>
      <c r="C254" s="32">
        <v>5</v>
      </c>
      <c r="D254" s="32">
        <v>1</v>
      </c>
      <c r="E254" s="27">
        <v>19</v>
      </c>
      <c r="F254" s="32">
        <v>0</v>
      </c>
      <c r="G254" s="97">
        <v>0</v>
      </c>
    </row>
    <row r="255" spans="1:7" x14ac:dyDescent="0.25">
      <c r="A255" s="29" t="s">
        <v>318</v>
      </c>
      <c r="B255" s="31">
        <v>6</v>
      </c>
      <c r="C255" s="31">
        <v>6</v>
      </c>
      <c r="D255" s="31">
        <v>2</v>
      </c>
      <c r="E255" s="27">
        <v>0</v>
      </c>
      <c r="F255" s="31">
        <v>0</v>
      </c>
      <c r="G255" s="98">
        <v>0</v>
      </c>
    </row>
    <row r="256" spans="1:7" x14ac:dyDescent="0.25">
      <c r="A256" s="25" t="s">
        <v>319</v>
      </c>
      <c r="B256" s="32">
        <v>6</v>
      </c>
      <c r="C256" s="32">
        <v>4</v>
      </c>
      <c r="D256" s="32">
        <v>4</v>
      </c>
      <c r="E256" s="27">
        <v>0</v>
      </c>
      <c r="F256" s="32">
        <v>0</v>
      </c>
      <c r="G256" s="97">
        <v>0</v>
      </c>
    </row>
    <row r="257" spans="1:7" ht="30" x14ac:dyDescent="0.25">
      <c r="A257" s="29" t="s">
        <v>320</v>
      </c>
      <c r="B257" s="31">
        <v>6</v>
      </c>
      <c r="C257" s="31">
        <v>6</v>
      </c>
      <c r="D257" s="31">
        <v>5</v>
      </c>
      <c r="E257" s="27">
        <v>8</v>
      </c>
      <c r="F257" s="31">
        <v>7</v>
      </c>
      <c r="G257" s="98">
        <v>0</v>
      </c>
    </row>
    <row r="258" spans="1:7" ht="30" x14ac:dyDescent="0.25">
      <c r="A258" s="25" t="s">
        <v>321</v>
      </c>
      <c r="B258" s="32">
        <v>6</v>
      </c>
      <c r="C258" s="32">
        <v>6</v>
      </c>
      <c r="D258" s="32">
        <v>4</v>
      </c>
      <c r="E258" s="27">
        <v>19</v>
      </c>
      <c r="F258" s="32">
        <v>9</v>
      </c>
      <c r="G258" s="97">
        <v>0</v>
      </c>
    </row>
    <row r="259" spans="1:7" ht="30" x14ac:dyDescent="0.25">
      <c r="A259" s="29" t="s">
        <v>322</v>
      </c>
      <c r="B259" s="31">
        <v>6</v>
      </c>
      <c r="C259" s="31">
        <v>6</v>
      </c>
      <c r="D259" s="31">
        <v>3</v>
      </c>
      <c r="E259" s="27">
        <v>12</v>
      </c>
      <c r="F259" s="31">
        <v>18</v>
      </c>
      <c r="G259" s="98">
        <v>0</v>
      </c>
    </row>
    <row r="260" spans="1:7" x14ac:dyDescent="0.25">
      <c r="A260" s="25" t="s">
        <v>323</v>
      </c>
      <c r="B260" s="32">
        <v>6</v>
      </c>
      <c r="C260" s="32">
        <v>4</v>
      </c>
      <c r="D260" s="32">
        <v>3</v>
      </c>
      <c r="E260" s="27">
        <v>8</v>
      </c>
      <c r="F260" s="32">
        <v>5</v>
      </c>
      <c r="G260" s="97">
        <v>0</v>
      </c>
    </row>
    <row r="261" spans="1:7" ht="30" x14ac:dyDescent="0.25">
      <c r="A261" s="29" t="s">
        <v>324</v>
      </c>
      <c r="B261" s="31">
        <v>6</v>
      </c>
      <c r="C261" s="31">
        <v>6</v>
      </c>
      <c r="D261" s="31">
        <v>4</v>
      </c>
      <c r="E261" s="27">
        <v>20</v>
      </c>
      <c r="F261" s="31">
        <v>8</v>
      </c>
      <c r="G261" s="98">
        <v>0</v>
      </c>
    </row>
    <row r="262" spans="1:7" ht="30" x14ac:dyDescent="0.25">
      <c r="A262" s="25" t="s">
        <v>325</v>
      </c>
      <c r="B262" s="32">
        <v>6</v>
      </c>
      <c r="C262" s="32">
        <v>5</v>
      </c>
      <c r="D262" s="32">
        <v>4</v>
      </c>
      <c r="E262" s="27">
        <v>14</v>
      </c>
      <c r="F262" s="32">
        <v>6</v>
      </c>
      <c r="G262" s="97">
        <v>0</v>
      </c>
    </row>
    <row r="263" spans="1:7" ht="30" x14ac:dyDescent="0.25">
      <c r="A263" s="29" t="s">
        <v>326</v>
      </c>
      <c r="B263" s="31">
        <v>6</v>
      </c>
      <c r="C263" s="31">
        <v>5</v>
      </c>
      <c r="D263" s="31">
        <v>3</v>
      </c>
      <c r="E263" s="27">
        <v>13</v>
      </c>
      <c r="F263" s="31">
        <v>13</v>
      </c>
      <c r="G263" s="98">
        <v>0</v>
      </c>
    </row>
    <row r="264" spans="1:7" ht="30" x14ac:dyDescent="0.25">
      <c r="A264" s="25" t="s">
        <v>327</v>
      </c>
      <c r="B264" s="32">
        <v>6</v>
      </c>
      <c r="C264" s="32">
        <v>5</v>
      </c>
      <c r="D264" s="32">
        <v>4</v>
      </c>
      <c r="E264" s="27">
        <v>4</v>
      </c>
      <c r="F264" s="32">
        <v>5</v>
      </c>
      <c r="G264" s="97">
        <v>0</v>
      </c>
    </row>
    <row r="265" spans="1:7" ht="30" x14ac:dyDescent="0.25">
      <c r="A265" s="29" t="s">
        <v>328</v>
      </c>
      <c r="B265" s="31">
        <v>6</v>
      </c>
      <c r="C265" s="31">
        <v>5</v>
      </c>
      <c r="D265" s="31">
        <v>3</v>
      </c>
      <c r="E265" s="27">
        <v>4</v>
      </c>
      <c r="F265" s="31">
        <v>9</v>
      </c>
      <c r="G265" s="98">
        <v>0</v>
      </c>
    </row>
    <row r="266" spans="1:7" x14ac:dyDescent="0.25">
      <c r="A266" s="25" t="s">
        <v>329</v>
      </c>
      <c r="B266" s="32">
        <v>6</v>
      </c>
      <c r="C266" s="32">
        <v>4</v>
      </c>
      <c r="D266" s="32">
        <v>4</v>
      </c>
      <c r="E266" s="27">
        <v>5</v>
      </c>
      <c r="F266" s="32">
        <v>7</v>
      </c>
      <c r="G266" s="97">
        <v>0</v>
      </c>
    </row>
    <row r="267" spans="1:7" ht="30" x14ac:dyDescent="0.25">
      <c r="A267" s="29" t="s">
        <v>330</v>
      </c>
      <c r="B267" s="31">
        <v>6</v>
      </c>
      <c r="C267" s="31">
        <v>4</v>
      </c>
      <c r="D267" s="31">
        <v>0</v>
      </c>
      <c r="E267" s="27">
        <v>3</v>
      </c>
      <c r="F267" s="31">
        <v>10</v>
      </c>
      <c r="G267" s="98">
        <v>0</v>
      </c>
    </row>
    <row r="268" spans="1:7" ht="30" x14ac:dyDescent="0.25">
      <c r="A268" s="25" t="s">
        <v>331</v>
      </c>
      <c r="B268" s="32">
        <v>6</v>
      </c>
      <c r="C268" s="32">
        <v>3</v>
      </c>
      <c r="D268" s="32">
        <v>1</v>
      </c>
      <c r="E268" s="27">
        <v>2</v>
      </c>
      <c r="F268" s="32">
        <v>12</v>
      </c>
      <c r="G268" s="97">
        <v>0</v>
      </c>
    </row>
    <row r="269" spans="1:7" ht="30" x14ac:dyDescent="0.25">
      <c r="A269" s="29" t="s">
        <v>332</v>
      </c>
      <c r="B269" s="31">
        <v>6</v>
      </c>
      <c r="C269" s="31">
        <v>6</v>
      </c>
      <c r="D269" s="31">
        <v>6</v>
      </c>
      <c r="E269" s="27">
        <v>5</v>
      </c>
      <c r="F269" s="31">
        <v>2</v>
      </c>
      <c r="G269" s="98">
        <v>0</v>
      </c>
    </row>
    <row r="270" spans="1:7" ht="30" x14ac:dyDescent="0.25">
      <c r="A270" s="25" t="s">
        <v>333</v>
      </c>
      <c r="B270" s="32">
        <v>6</v>
      </c>
      <c r="C270" s="32">
        <v>6</v>
      </c>
      <c r="D270" s="32">
        <v>3</v>
      </c>
      <c r="E270" s="27">
        <v>27</v>
      </c>
      <c r="F270" s="32">
        <v>9</v>
      </c>
      <c r="G270" s="97">
        <v>0</v>
      </c>
    </row>
    <row r="271" spans="1:7" x14ac:dyDescent="0.25">
      <c r="A271" s="29" t="s">
        <v>334</v>
      </c>
      <c r="B271" s="31">
        <v>6</v>
      </c>
      <c r="C271" s="31">
        <v>6</v>
      </c>
      <c r="D271" s="31">
        <v>4</v>
      </c>
      <c r="E271" s="27">
        <v>10</v>
      </c>
      <c r="F271" s="31">
        <v>0</v>
      </c>
      <c r="G271" s="98">
        <v>0</v>
      </c>
    </row>
    <row r="272" spans="1:7" x14ac:dyDescent="0.25">
      <c r="A272" s="25" t="s">
        <v>335</v>
      </c>
      <c r="B272" s="32">
        <v>6</v>
      </c>
      <c r="C272" s="32">
        <v>5</v>
      </c>
      <c r="D272" s="32">
        <v>1</v>
      </c>
      <c r="E272" s="27">
        <v>9</v>
      </c>
      <c r="F272" s="32">
        <v>2</v>
      </c>
      <c r="G272" s="97">
        <v>0</v>
      </c>
    </row>
    <row r="273" spans="1:7" x14ac:dyDescent="0.25">
      <c r="A273" s="29" t="s">
        <v>336</v>
      </c>
      <c r="B273" s="31">
        <v>5</v>
      </c>
      <c r="C273" s="31">
        <v>2</v>
      </c>
      <c r="D273" s="31">
        <v>2</v>
      </c>
      <c r="E273" s="27">
        <v>0</v>
      </c>
      <c r="F273" s="31">
        <v>0</v>
      </c>
      <c r="G273" s="98">
        <v>0</v>
      </c>
    </row>
    <row r="274" spans="1:7" x14ac:dyDescent="0.25">
      <c r="A274" s="25" t="s">
        <v>337</v>
      </c>
      <c r="B274" s="32">
        <v>5</v>
      </c>
      <c r="C274" s="32">
        <v>4</v>
      </c>
      <c r="D274" s="32">
        <v>3</v>
      </c>
      <c r="E274" s="27">
        <v>0</v>
      </c>
      <c r="F274" s="32">
        <v>0</v>
      </c>
      <c r="G274" s="97">
        <v>0</v>
      </c>
    </row>
    <row r="275" spans="1:7" x14ac:dyDescent="0.25">
      <c r="A275" s="29" t="s">
        <v>338</v>
      </c>
      <c r="B275" s="31">
        <v>5</v>
      </c>
      <c r="C275" s="31">
        <v>5</v>
      </c>
      <c r="D275" s="31">
        <v>0</v>
      </c>
      <c r="E275" s="27">
        <v>18</v>
      </c>
      <c r="F275" s="31">
        <v>0</v>
      </c>
      <c r="G275" s="98">
        <v>0</v>
      </c>
    </row>
    <row r="276" spans="1:7" x14ac:dyDescent="0.25">
      <c r="A276" s="25" t="s">
        <v>339</v>
      </c>
      <c r="B276" s="32">
        <v>5</v>
      </c>
      <c r="C276" s="32">
        <v>5</v>
      </c>
      <c r="D276" s="32">
        <v>4</v>
      </c>
      <c r="E276" s="27">
        <v>8</v>
      </c>
      <c r="F276" s="32">
        <v>0</v>
      </c>
      <c r="G276" s="97">
        <v>0</v>
      </c>
    </row>
    <row r="277" spans="1:7" x14ac:dyDescent="0.25">
      <c r="A277" s="29" t="s">
        <v>340</v>
      </c>
      <c r="B277" s="31">
        <v>5</v>
      </c>
      <c r="C277" s="31">
        <v>5</v>
      </c>
      <c r="D277" s="31">
        <v>0</v>
      </c>
      <c r="E277" s="27">
        <v>0</v>
      </c>
      <c r="F277" s="31">
        <v>0</v>
      </c>
      <c r="G277" s="98">
        <v>0</v>
      </c>
    </row>
    <row r="278" spans="1:7" ht="30" x14ac:dyDescent="0.25">
      <c r="A278" s="25" t="s">
        <v>341</v>
      </c>
      <c r="B278" s="32">
        <v>5</v>
      </c>
      <c r="C278" s="32">
        <v>5</v>
      </c>
      <c r="D278" s="32">
        <v>4</v>
      </c>
      <c r="E278" s="27">
        <v>12</v>
      </c>
      <c r="F278" s="32">
        <v>42</v>
      </c>
      <c r="G278" s="97">
        <v>0</v>
      </c>
    </row>
    <row r="279" spans="1:7" ht="30" x14ac:dyDescent="0.25">
      <c r="A279" s="29" t="s">
        <v>342</v>
      </c>
      <c r="B279" s="31">
        <v>5</v>
      </c>
      <c r="C279" s="31">
        <v>4</v>
      </c>
      <c r="D279" s="31">
        <v>4</v>
      </c>
      <c r="E279" s="27">
        <v>24</v>
      </c>
      <c r="F279" s="31">
        <v>6</v>
      </c>
      <c r="G279" s="98">
        <v>0</v>
      </c>
    </row>
    <row r="280" spans="1:7" x14ac:dyDescent="0.25">
      <c r="A280" s="25" t="s">
        <v>343</v>
      </c>
      <c r="B280" s="32">
        <v>5</v>
      </c>
      <c r="C280" s="32">
        <v>5</v>
      </c>
      <c r="D280" s="32">
        <v>4</v>
      </c>
      <c r="E280" s="27">
        <v>20</v>
      </c>
      <c r="F280" s="32">
        <v>7</v>
      </c>
      <c r="G280" s="97">
        <v>0</v>
      </c>
    </row>
    <row r="281" spans="1:7" ht="30" x14ac:dyDescent="0.25">
      <c r="A281" s="29" t="s">
        <v>344</v>
      </c>
      <c r="B281" s="31">
        <v>5</v>
      </c>
      <c r="C281" s="31">
        <v>3</v>
      </c>
      <c r="D281" s="31">
        <v>2</v>
      </c>
      <c r="E281" s="27">
        <v>0</v>
      </c>
      <c r="F281" s="31">
        <v>7</v>
      </c>
      <c r="G281" s="98">
        <v>0</v>
      </c>
    </row>
    <row r="282" spans="1:7" ht="30" x14ac:dyDescent="0.25">
      <c r="A282" s="25" t="s">
        <v>345</v>
      </c>
      <c r="B282" s="32">
        <v>5</v>
      </c>
      <c r="C282" s="32">
        <v>5</v>
      </c>
      <c r="D282" s="32">
        <v>5</v>
      </c>
      <c r="E282" s="27">
        <v>5</v>
      </c>
      <c r="F282" s="32">
        <v>6</v>
      </c>
      <c r="G282" s="97">
        <v>0</v>
      </c>
    </row>
    <row r="283" spans="1:7" ht="30" x14ac:dyDescent="0.25">
      <c r="A283" s="29" t="s">
        <v>346</v>
      </c>
      <c r="B283" s="31">
        <v>5</v>
      </c>
      <c r="C283" s="31">
        <v>5</v>
      </c>
      <c r="D283" s="31">
        <v>4</v>
      </c>
      <c r="E283" s="27">
        <v>17</v>
      </c>
      <c r="F283" s="31">
        <v>6</v>
      </c>
      <c r="G283" s="98">
        <v>0</v>
      </c>
    </row>
    <row r="284" spans="1:7" ht="30" x14ac:dyDescent="0.25">
      <c r="A284" s="25" t="s">
        <v>347</v>
      </c>
      <c r="B284" s="32">
        <v>5</v>
      </c>
      <c r="C284" s="32">
        <v>5</v>
      </c>
      <c r="D284" s="32">
        <v>5</v>
      </c>
      <c r="E284" s="27">
        <v>1</v>
      </c>
      <c r="F284" s="32">
        <v>5</v>
      </c>
      <c r="G284" s="97">
        <v>0</v>
      </c>
    </row>
    <row r="285" spans="1:7" ht="30" x14ac:dyDescent="0.25">
      <c r="A285" s="29" t="s">
        <v>348</v>
      </c>
      <c r="B285" s="31">
        <v>5</v>
      </c>
      <c r="C285" s="31">
        <v>5</v>
      </c>
      <c r="D285" s="31">
        <v>3</v>
      </c>
      <c r="E285" s="27">
        <v>5</v>
      </c>
      <c r="F285" s="31">
        <v>6</v>
      </c>
      <c r="G285" s="98">
        <v>0</v>
      </c>
    </row>
    <row r="286" spans="1:7" ht="30" x14ac:dyDescent="0.25">
      <c r="A286" s="25" t="s">
        <v>349</v>
      </c>
      <c r="B286" s="32">
        <v>5</v>
      </c>
      <c r="C286" s="32">
        <v>5</v>
      </c>
      <c r="D286" s="32">
        <v>1</v>
      </c>
      <c r="E286" s="27">
        <v>12</v>
      </c>
      <c r="F286" s="32">
        <v>5</v>
      </c>
      <c r="G286" s="97">
        <v>0</v>
      </c>
    </row>
    <row r="287" spans="1:7" ht="30" x14ac:dyDescent="0.25">
      <c r="A287" s="29" t="s">
        <v>350</v>
      </c>
      <c r="B287" s="31">
        <v>5</v>
      </c>
      <c r="C287" s="31">
        <v>2</v>
      </c>
      <c r="D287" s="31">
        <v>1</v>
      </c>
      <c r="E287" s="27">
        <v>0</v>
      </c>
      <c r="F287" s="31">
        <v>4</v>
      </c>
      <c r="G287" s="98">
        <v>0</v>
      </c>
    </row>
    <row r="288" spans="1:7" x14ac:dyDescent="0.25">
      <c r="A288" s="25" t="s">
        <v>351</v>
      </c>
      <c r="B288" s="32">
        <v>5</v>
      </c>
      <c r="C288" s="32">
        <v>4</v>
      </c>
      <c r="D288" s="32">
        <v>3</v>
      </c>
      <c r="E288" s="27">
        <v>5</v>
      </c>
      <c r="F288" s="32">
        <v>0</v>
      </c>
      <c r="G288" s="97">
        <v>0</v>
      </c>
    </row>
    <row r="289" spans="1:7" ht="30" x14ac:dyDescent="0.25">
      <c r="A289" s="29" t="s">
        <v>352</v>
      </c>
      <c r="B289" s="31">
        <v>5</v>
      </c>
      <c r="C289" s="31">
        <v>5</v>
      </c>
      <c r="D289" s="31">
        <v>3</v>
      </c>
      <c r="E289" s="27">
        <v>5</v>
      </c>
      <c r="F289" s="31">
        <v>0</v>
      </c>
      <c r="G289" s="98">
        <v>0</v>
      </c>
    </row>
    <row r="290" spans="1:7" ht="30" x14ac:dyDescent="0.25">
      <c r="A290" s="25" t="s">
        <v>353</v>
      </c>
      <c r="B290" s="32">
        <v>5</v>
      </c>
      <c r="C290" s="32">
        <v>4</v>
      </c>
      <c r="D290" s="32">
        <v>1</v>
      </c>
      <c r="E290" s="27">
        <v>45</v>
      </c>
      <c r="F290" s="32">
        <v>7</v>
      </c>
      <c r="G290" s="97">
        <v>0</v>
      </c>
    </row>
    <row r="291" spans="1:7" ht="30" x14ac:dyDescent="0.25">
      <c r="A291" s="29" t="s">
        <v>354</v>
      </c>
      <c r="B291" s="31">
        <v>5</v>
      </c>
      <c r="C291" s="31">
        <v>5</v>
      </c>
      <c r="D291" s="31">
        <v>2</v>
      </c>
      <c r="E291" s="27">
        <v>45</v>
      </c>
      <c r="F291" s="31">
        <v>9</v>
      </c>
      <c r="G291" s="98">
        <v>0</v>
      </c>
    </row>
    <row r="292" spans="1:7" ht="30" x14ac:dyDescent="0.25">
      <c r="A292" s="25" t="s">
        <v>355</v>
      </c>
      <c r="B292" s="32">
        <v>5</v>
      </c>
      <c r="C292" s="32">
        <v>5</v>
      </c>
      <c r="D292" s="32">
        <v>3</v>
      </c>
      <c r="E292" s="27">
        <v>8</v>
      </c>
      <c r="F292" s="32">
        <v>5</v>
      </c>
      <c r="G292" s="97">
        <v>0</v>
      </c>
    </row>
    <row r="293" spans="1:7" ht="30" x14ac:dyDescent="0.25">
      <c r="A293" s="29" t="s">
        <v>356</v>
      </c>
      <c r="B293" s="31">
        <v>5</v>
      </c>
      <c r="C293" s="31">
        <v>4</v>
      </c>
      <c r="D293" s="31">
        <v>3</v>
      </c>
      <c r="E293" s="27">
        <v>5</v>
      </c>
      <c r="F293" s="31">
        <v>5</v>
      </c>
      <c r="G293" s="98">
        <v>0</v>
      </c>
    </row>
    <row r="294" spans="1:7" ht="30" x14ac:dyDescent="0.25">
      <c r="A294" s="25" t="s">
        <v>357</v>
      </c>
      <c r="B294" s="32">
        <v>5</v>
      </c>
      <c r="C294" s="32">
        <v>4</v>
      </c>
      <c r="D294" s="32">
        <v>3</v>
      </c>
      <c r="E294" s="27">
        <v>22</v>
      </c>
      <c r="F294" s="32">
        <v>6</v>
      </c>
      <c r="G294" s="97">
        <v>0</v>
      </c>
    </row>
    <row r="295" spans="1:7" ht="30" x14ac:dyDescent="0.25">
      <c r="A295" s="29" t="s">
        <v>358</v>
      </c>
      <c r="B295" s="31">
        <v>5</v>
      </c>
      <c r="C295" s="31">
        <v>4</v>
      </c>
      <c r="D295" s="31">
        <v>2</v>
      </c>
      <c r="E295" s="27">
        <v>17</v>
      </c>
      <c r="F295" s="31">
        <v>6</v>
      </c>
      <c r="G295" s="98">
        <v>0</v>
      </c>
    </row>
    <row r="296" spans="1:7" x14ac:dyDescent="0.25">
      <c r="A296" s="25" t="s">
        <v>359</v>
      </c>
      <c r="B296" s="32">
        <v>5</v>
      </c>
      <c r="C296" s="32">
        <v>5</v>
      </c>
      <c r="D296" s="32">
        <v>0</v>
      </c>
      <c r="E296" s="27">
        <v>7</v>
      </c>
      <c r="F296" s="32">
        <v>0</v>
      </c>
      <c r="G296" s="97">
        <v>0</v>
      </c>
    </row>
    <row r="297" spans="1:7" x14ac:dyDescent="0.25">
      <c r="A297" s="29" t="s">
        <v>360</v>
      </c>
      <c r="B297" s="31">
        <v>5</v>
      </c>
      <c r="C297" s="31">
        <v>5</v>
      </c>
      <c r="D297" s="31">
        <v>2</v>
      </c>
      <c r="E297" s="27">
        <v>0</v>
      </c>
      <c r="F297" s="31">
        <v>0</v>
      </c>
      <c r="G297" s="98">
        <v>0</v>
      </c>
    </row>
    <row r="298" spans="1:7" x14ac:dyDescent="0.25">
      <c r="A298" s="25" t="s">
        <v>361</v>
      </c>
      <c r="B298" s="32">
        <v>5</v>
      </c>
      <c r="C298" s="32">
        <v>5</v>
      </c>
      <c r="D298" s="32">
        <v>5</v>
      </c>
      <c r="E298" s="27">
        <v>13</v>
      </c>
      <c r="F298" s="32">
        <v>0</v>
      </c>
      <c r="G298" s="97">
        <v>0</v>
      </c>
    </row>
    <row r="299" spans="1:7" x14ac:dyDescent="0.25">
      <c r="A299" s="29" t="s">
        <v>362</v>
      </c>
      <c r="B299" s="31">
        <v>4</v>
      </c>
      <c r="C299" s="31">
        <v>4</v>
      </c>
      <c r="D299" s="31">
        <v>0</v>
      </c>
      <c r="E299" s="27">
        <v>10</v>
      </c>
      <c r="F299" s="31">
        <v>0</v>
      </c>
      <c r="G299" s="98">
        <v>0</v>
      </c>
    </row>
    <row r="300" spans="1:7" x14ac:dyDescent="0.25">
      <c r="A300" s="25" t="s">
        <v>363</v>
      </c>
      <c r="B300" s="32">
        <v>4</v>
      </c>
      <c r="C300" s="32">
        <v>2</v>
      </c>
      <c r="D300" s="32">
        <v>2</v>
      </c>
      <c r="E300" s="27">
        <v>0</v>
      </c>
      <c r="F300" s="32">
        <v>0</v>
      </c>
      <c r="G300" s="97">
        <v>0</v>
      </c>
    </row>
    <row r="301" spans="1:7" ht="30" x14ac:dyDescent="0.25">
      <c r="A301" s="29" t="s">
        <v>364</v>
      </c>
      <c r="B301" s="31">
        <v>4</v>
      </c>
      <c r="C301" s="31">
        <v>4</v>
      </c>
      <c r="D301" s="31">
        <v>1</v>
      </c>
      <c r="E301" s="27">
        <v>14</v>
      </c>
      <c r="F301" s="31">
        <v>4</v>
      </c>
      <c r="G301" s="98">
        <v>0</v>
      </c>
    </row>
    <row r="302" spans="1:7" ht="30" x14ac:dyDescent="0.25">
      <c r="A302" s="25" t="s">
        <v>365</v>
      </c>
      <c r="B302" s="32">
        <v>4</v>
      </c>
      <c r="C302" s="32">
        <v>3</v>
      </c>
      <c r="D302" s="32">
        <v>3</v>
      </c>
      <c r="E302" s="27">
        <v>0</v>
      </c>
      <c r="F302" s="32">
        <v>4</v>
      </c>
      <c r="G302" s="97">
        <v>0</v>
      </c>
    </row>
    <row r="303" spans="1:7" x14ac:dyDescent="0.25">
      <c r="A303" s="29" t="s">
        <v>366</v>
      </c>
      <c r="B303" s="31">
        <v>4</v>
      </c>
      <c r="C303" s="31">
        <v>3</v>
      </c>
      <c r="D303" s="31">
        <v>0</v>
      </c>
      <c r="E303" s="27">
        <v>37</v>
      </c>
      <c r="F303" s="31">
        <v>4</v>
      </c>
      <c r="G303" s="98">
        <v>0</v>
      </c>
    </row>
    <row r="304" spans="1:7" ht="30" x14ac:dyDescent="0.25">
      <c r="A304" s="25" t="s">
        <v>367</v>
      </c>
      <c r="B304" s="32">
        <v>4</v>
      </c>
      <c r="C304" s="32">
        <v>1</v>
      </c>
      <c r="D304" s="32">
        <v>1</v>
      </c>
      <c r="E304" s="27">
        <v>0</v>
      </c>
      <c r="F304" s="32">
        <v>3</v>
      </c>
      <c r="G304" s="97">
        <v>0</v>
      </c>
    </row>
    <row r="305" spans="1:7" ht="30" x14ac:dyDescent="0.25">
      <c r="A305" s="29" t="s">
        <v>368</v>
      </c>
      <c r="B305" s="31">
        <v>4</v>
      </c>
      <c r="C305" s="31">
        <v>3</v>
      </c>
      <c r="D305" s="31">
        <v>2</v>
      </c>
      <c r="E305" s="27">
        <v>6</v>
      </c>
      <c r="F305" s="31">
        <v>5</v>
      </c>
      <c r="G305" s="98">
        <v>0</v>
      </c>
    </row>
    <row r="306" spans="1:7" ht="30" x14ac:dyDescent="0.25">
      <c r="A306" s="25" t="s">
        <v>369</v>
      </c>
      <c r="B306" s="32">
        <v>4</v>
      </c>
      <c r="C306" s="32">
        <v>4</v>
      </c>
      <c r="D306" s="32">
        <v>3</v>
      </c>
      <c r="E306" s="27">
        <v>5</v>
      </c>
      <c r="F306" s="32">
        <v>4</v>
      </c>
      <c r="G306" s="97">
        <v>0</v>
      </c>
    </row>
    <row r="307" spans="1:7" ht="30" x14ac:dyDescent="0.25">
      <c r="A307" s="29" t="s">
        <v>370</v>
      </c>
      <c r="B307" s="31">
        <v>4</v>
      </c>
      <c r="C307" s="31">
        <v>4</v>
      </c>
      <c r="D307" s="31">
        <v>3</v>
      </c>
      <c r="E307" s="27">
        <v>3</v>
      </c>
      <c r="F307" s="31">
        <v>5</v>
      </c>
      <c r="G307" s="98">
        <v>0</v>
      </c>
    </row>
    <row r="308" spans="1:7" ht="30" x14ac:dyDescent="0.25">
      <c r="A308" s="25" t="s">
        <v>371</v>
      </c>
      <c r="B308" s="32">
        <v>4</v>
      </c>
      <c r="C308" s="32">
        <v>4</v>
      </c>
      <c r="D308" s="32">
        <v>2</v>
      </c>
      <c r="E308" s="27">
        <v>2</v>
      </c>
      <c r="F308" s="32">
        <v>5</v>
      </c>
      <c r="G308" s="97">
        <v>0</v>
      </c>
    </row>
    <row r="309" spans="1:7" ht="30" x14ac:dyDescent="0.25">
      <c r="A309" s="29" t="s">
        <v>372</v>
      </c>
      <c r="B309" s="31">
        <v>4</v>
      </c>
      <c r="C309" s="31">
        <v>4</v>
      </c>
      <c r="D309" s="31">
        <v>2</v>
      </c>
      <c r="E309" s="27">
        <v>1</v>
      </c>
      <c r="F309" s="31">
        <v>3</v>
      </c>
      <c r="G309" s="98">
        <v>0</v>
      </c>
    </row>
    <row r="310" spans="1:7" ht="30" x14ac:dyDescent="0.25">
      <c r="A310" s="25" t="s">
        <v>373</v>
      </c>
      <c r="B310" s="32">
        <v>4</v>
      </c>
      <c r="C310" s="32">
        <v>4</v>
      </c>
      <c r="D310" s="32">
        <v>3</v>
      </c>
      <c r="E310" s="27">
        <v>16</v>
      </c>
      <c r="F310" s="32">
        <v>4</v>
      </c>
      <c r="G310" s="97">
        <v>0</v>
      </c>
    </row>
    <row r="311" spans="1:7" ht="30" x14ac:dyDescent="0.25">
      <c r="A311" s="29" t="s">
        <v>374</v>
      </c>
      <c r="B311" s="31">
        <v>4</v>
      </c>
      <c r="C311" s="31">
        <v>1</v>
      </c>
      <c r="D311" s="31">
        <v>0</v>
      </c>
      <c r="E311" s="27">
        <v>0</v>
      </c>
      <c r="F311" s="31">
        <v>4</v>
      </c>
      <c r="G311" s="98">
        <v>0</v>
      </c>
    </row>
    <row r="312" spans="1:7" ht="30" x14ac:dyDescent="0.25">
      <c r="A312" s="25" t="s">
        <v>375</v>
      </c>
      <c r="B312" s="32">
        <v>4</v>
      </c>
      <c r="C312" s="32">
        <v>4</v>
      </c>
      <c r="D312" s="32">
        <v>2</v>
      </c>
      <c r="E312" s="27">
        <v>12</v>
      </c>
      <c r="F312" s="32">
        <v>5</v>
      </c>
      <c r="G312" s="97">
        <v>0</v>
      </c>
    </row>
    <row r="313" spans="1:7" ht="30" x14ac:dyDescent="0.25">
      <c r="A313" s="29" t="s">
        <v>376</v>
      </c>
      <c r="B313" s="31">
        <v>4</v>
      </c>
      <c r="C313" s="31">
        <v>4</v>
      </c>
      <c r="D313" s="31">
        <v>4</v>
      </c>
      <c r="E313" s="27">
        <v>1</v>
      </c>
      <c r="F313" s="31">
        <v>4</v>
      </c>
      <c r="G313" s="98">
        <v>0</v>
      </c>
    </row>
    <row r="314" spans="1:7" x14ac:dyDescent="0.25">
      <c r="A314" s="25" t="s">
        <v>377</v>
      </c>
      <c r="B314" s="32">
        <v>4</v>
      </c>
      <c r="C314" s="32">
        <v>4</v>
      </c>
      <c r="D314" s="32">
        <v>4</v>
      </c>
      <c r="E314" s="27">
        <v>20</v>
      </c>
      <c r="F314" s="32">
        <v>7</v>
      </c>
      <c r="G314" s="97">
        <v>0</v>
      </c>
    </row>
    <row r="315" spans="1:7" ht="30" x14ac:dyDescent="0.25">
      <c r="A315" s="29" t="s">
        <v>378</v>
      </c>
      <c r="B315" s="31">
        <v>4</v>
      </c>
      <c r="C315" s="31">
        <v>4</v>
      </c>
      <c r="D315" s="31">
        <v>3</v>
      </c>
      <c r="E315" s="27">
        <v>12</v>
      </c>
      <c r="F315" s="31">
        <v>11</v>
      </c>
      <c r="G315" s="98">
        <v>0</v>
      </c>
    </row>
    <row r="316" spans="1:7" ht="30" x14ac:dyDescent="0.25">
      <c r="A316" s="25" t="s">
        <v>379</v>
      </c>
      <c r="B316" s="32">
        <v>4</v>
      </c>
      <c r="C316" s="32">
        <v>4</v>
      </c>
      <c r="D316" s="32">
        <v>2</v>
      </c>
      <c r="E316" s="27">
        <v>23</v>
      </c>
      <c r="F316" s="32">
        <v>5</v>
      </c>
      <c r="G316" s="97">
        <v>0</v>
      </c>
    </row>
    <row r="317" spans="1:7" ht="30" x14ac:dyDescent="0.25">
      <c r="A317" s="29" t="s">
        <v>380</v>
      </c>
      <c r="B317" s="31">
        <v>4</v>
      </c>
      <c r="C317" s="31">
        <v>3</v>
      </c>
      <c r="D317" s="31">
        <v>2</v>
      </c>
      <c r="E317" s="27">
        <v>6</v>
      </c>
      <c r="F317" s="31">
        <v>2</v>
      </c>
      <c r="G317" s="98">
        <v>0</v>
      </c>
    </row>
    <row r="318" spans="1:7" ht="30" x14ac:dyDescent="0.25">
      <c r="A318" s="25" t="s">
        <v>381</v>
      </c>
      <c r="B318" s="32">
        <v>4</v>
      </c>
      <c r="C318" s="32">
        <v>4</v>
      </c>
      <c r="D318" s="32">
        <v>2</v>
      </c>
      <c r="E318" s="27">
        <v>30</v>
      </c>
      <c r="F318" s="32">
        <v>10</v>
      </c>
      <c r="G318" s="97">
        <v>0</v>
      </c>
    </row>
    <row r="319" spans="1:7" x14ac:dyDescent="0.25">
      <c r="A319" s="29" t="s">
        <v>382</v>
      </c>
      <c r="B319" s="31">
        <v>4</v>
      </c>
      <c r="C319" s="31">
        <v>4</v>
      </c>
      <c r="D319" s="31">
        <v>4</v>
      </c>
      <c r="E319" s="27">
        <v>0</v>
      </c>
      <c r="F319" s="31">
        <v>0</v>
      </c>
      <c r="G319" s="98">
        <v>0</v>
      </c>
    </row>
    <row r="320" spans="1:7" ht="30" x14ac:dyDescent="0.25">
      <c r="A320" s="25" t="s">
        <v>383</v>
      </c>
      <c r="B320" s="32">
        <v>4</v>
      </c>
      <c r="C320" s="32">
        <v>2</v>
      </c>
      <c r="D320" s="32">
        <v>0</v>
      </c>
      <c r="E320" s="27">
        <v>1</v>
      </c>
      <c r="F320" s="32">
        <v>5</v>
      </c>
      <c r="G320" s="97">
        <v>0</v>
      </c>
    </row>
    <row r="321" spans="1:7" ht="30" x14ac:dyDescent="0.25">
      <c r="A321" s="29" t="s">
        <v>384</v>
      </c>
      <c r="B321" s="31">
        <v>4</v>
      </c>
      <c r="C321" s="31">
        <v>2</v>
      </c>
      <c r="D321" s="31">
        <v>1</v>
      </c>
      <c r="E321" s="27">
        <v>17</v>
      </c>
      <c r="F321" s="31">
        <v>4</v>
      </c>
      <c r="G321" s="98">
        <v>0</v>
      </c>
    </row>
    <row r="322" spans="1:7" ht="30" x14ac:dyDescent="0.25">
      <c r="A322" s="25" t="s">
        <v>385</v>
      </c>
      <c r="B322" s="32">
        <v>4</v>
      </c>
      <c r="C322" s="32">
        <v>4</v>
      </c>
      <c r="D322" s="32">
        <v>1</v>
      </c>
      <c r="E322" s="27">
        <v>9</v>
      </c>
      <c r="F322" s="32">
        <v>7</v>
      </c>
      <c r="G322" s="97">
        <v>0</v>
      </c>
    </row>
    <row r="323" spans="1:7" ht="30" x14ac:dyDescent="0.25">
      <c r="A323" s="29" t="s">
        <v>386</v>
      </c>
      <c r="B323" s="31">
        <v>4</v>
      </c>
      <c r="C323" s="31">
        <v>4</v>
      </c>
      <c r="D323" s="31">
        <v>3</v>
      </c>
      <c r="E323" s="27">
        <v>40</v>
      </c>
      <c r="F323" s="31">
        <v>5</v>
      </c>
      <c r="G323" s="98">
        <v>0</v>
      </c>
    </row>
    <row r="324" spans="1:7" ht="30" x14ac:dyDescent="0.25">
      <c r="A324" s="25" t="s">
        <v>387</v>
      </c>
      <c r="B324" s="32">
        <v>4</v>
      </c>
      <c r="C324" s="32">
        <v>4</v>
      </c>
      <c r="D324" s="32">
        <v>3</v>
      </c>
      <c r="E324" s="27">
        <v>14</v>
      </c>
      <c r="F324" s="32">
        <v>7</v>
      </c>
      <c r="G324" s="97">
        <v>0</v>
      </c>
    </row>
    <row r="325" spans="1:7" ht="30" x14ac:dyDescent="0.25">
      <c r="A325" s="29" t="s">
        <v>388</v>
      </c>
      <c r="B325" s="31">
        <v>4</v>
      </c>
      <c r="C325" s="31">
        <v>3</v>
      </c>
      <c r="D325" s="31">
        <v>1</v>
      </c>
      <c r="E325" s="27">
        <v>45</v>
      </c>
      <c r="F325" s="31">
        <v>18</v>
      </c>
      <c r="G325" s="98">
        <v>0</v>
      </c>
    </row>
    <row r="326" spans="1:7" ht="30" x14ac:dyDescent="0.25">
      <c r="A326" s="25" t="s">
        <v>389</v>
      </c>
      <c r="B326" s="32">
        <v>4</v>
      </c>
      <c r="C326" s="32">
        <v>3</v>
      </c>
      <c r="D326" s="32">
        <v>0</v>
      </c>
      <c r="E326" s="27">
        <v>0</v>
      </c>
      <c r="F326" s="32">
        <v>4</v>
      </c>
      <c r="G326" s="97">
        <v>0</v>
      </c>
    </row>
    <row r="327" spans="1:7" ht="30" x14ac:dyDescent="0.25">
      <c r="A327" s="29" t="s">
        <v>390</v>
      </c>
      <c r="B327" s="31">
        <v>4</v>
      </c>
      <c r="C327" s="31">
        <v>4</v>
      </c>
      <c r="D327" s="31">
        <v>3</v>
      </c>
      <c r="E327" s="27">
        <v>18</v>
      </c>
      <c r="F327" s="31">
        <v>4</v>
      </c>
      <c r="G327" s="98">
        <v>0</v>
      </c>
    </row>
    <row r="328" spans="1:7" x14ac:dyDescent="0.25">
      <c r="A328" s="25" t="s">
        <v>391</v>
      </c>
      <c r="B328" s="32">
        <v>4</v>
      </c>
      <c r="C328" s="32">
        <v>3</v>
      </c>
      <c r="D328" s="32">
        <v>2</v>
      </c>
      <c r="E328" s="27">
        <v>1</v>
      </c>
      <c r="F328" s="32">
        <v>0</v>
      </c>
      <c r="G328" s="97">
        <v>0</v>
      </c>
    </row>
    <row r="329" spans="1:7" x14ac:dyDescent="0.25">
      <c r="A329" s="29" t="s">
        <v>392</v>
      </c>
      <c r="B329" s="31">
        <v>3</v>
      </c>
      <c r="C329" s="31">
        <v>3</v>
      </c>
      <c r="D329" s="31">
        <v>2</v>
      </c>
      <c r="E329" s="27">
        <v>0</v>
      </c>
      <c r="F329" s="31">
        <v>0</v>
      </c>
      <c r="G329" s="98">
        <v>0</v>
      </c>
    </row>
    <row r="330" spans="1:7" x14ac:dyDescent="0.25">
      <c r="A330" s="25" t="s">
        <v>393</v>
      </c>
      <c r="B330" s="32">
        <v>3</v>
      </c>
      <c r="C330" s="32">
        <v>3</v>
      </c>
      <c r="D330" s="32">
        <v>2</v>
      </c>
      <c r="E330" s="27">
        <v>0</v>
      </c>
      <c r="F330" s="32">
        <v>0</v>
      </c>
      <c r="G330" s="97">
        <v>0</v>
      </c>
    </row>
    <row r="331" spans="1:7" x14ac:dyDescent="0.25">
      <c r="A331" s="29" t="s">
        <v>394</v>
      </c>
      <c r="B331" s="31">
        <v>3</v>
      </c>
      <c r="C331" s="31">
        <v>3</v>
      </c>
      <c r="D331" s="31">
        <v>3</v>
      </c>
      <c r="E331" s="27">
        <v>0</v>
      </c>
      <c r="F331" s="31">
        <v>0</v>
      </c>
      <c r="G331" s="98">
        <v>0</v>
      </c>
    </row>
    <row r="332" spans="1:7" x14ac:dyDescent="0.25">
      <c r="A332" s="25" t="s">
        <v>395</v>
      </c>
      <c r="B332" s="32">
        <v>3</v>
      </c>
      <c r="C332" s="32">
        <v>3</v>
      </c>
      <c r="D332" s="32">
        <v>2</v>
      </c>
      <c r="E332" s="27">
        <v>3</v>
      </c>
      <c r="F332" s="32">
        <v>0</v>
      </c>
      <c r="G332" s="97">
        <v>0</v>
      </c>
    </row>
    <row r="333" spans="1:7" ht="30" x14ac:dyDescent="0.25">
      <c r="A333" s="29" t="s">
        <v>396</v>
      </c>
      <c r="B333" s="31">
        <v>3</v>
      </c>
      <c r="C333" s="31">
        <v>2</v>
      </c>
      <c r="D333" s="31">
        <v>2</v>
      </c>
      <c r="E333" s="27">
        <v>0</v>
      </c>
      <c r="F333" s="31">
        <v>2</v>
      </c>
      <c r="G333" s="98">
        <v>0</v>
      </c>
    </row>
    <row r="334" spans="1:7" x14ac:dyDescent="0.25">
      <c r="A334" s="25" t="s">
        <v>397</v>
      </c>
      <c r="B334" s="32">
        <v>3</v>
      </c>
      <c r="C334" s="32">
        <v>3</v>
      </c>
      <c r="D334" s="32">
        <v>2</v>
      </c>
      <c r="E334" s="27">
        <v>0</v>
      </c>
      <c r="F334" s="32">
        <v>0</v>
      </c>
      <c r="G334" s="97">
        <v>0</v>
      </c>
    </row>
    <row r="335" spans="1:7" x14ac:dyDescent="0.25">
      <c r="A335" s="29" t="s">
        <v>398</v>
      </c>
      <c r="B335" s="31">
        <v>3</v>
      </c>
      <c r="C335" s="31">
        <v>1</v>
      </c>
      <c r="D335" s="31">
        <v>0</v>
      </c>
      <c r="E335" s="27">
        <v>1</v>
      </c>
      <c r="F335" s="31">
        <v>0</v>
      </c>
      <c r="G335" s="98">
        <v>0</v>
      </c>
    </row>
    <row r="336" spans="1:7" x14ac:dyDescent="0.25">
      <c r="A336" s="25" t="s">
        <v>399</v>
      </c>
      <c r="B336" s="32">
        <v>3</v>
      </c>
      <c r="C336" s="32">
        <v>3</v>
      </c>
      <c r="D336" s="32">
        <v>3</v>
      </c>
      <c r="E336" s="27">
        <v>0</v>
      </c>
      <c r="F336" s="32">
        <v>0</v>
      </c>
      <c r="G336" s="97">
        <v>0</v>
      </c>
    </row>
    <row r="337" spans="1:7" x14ac:dyDescent="0.25">
      <c r="A337" s="29" t="s">
        <v>400</v>
      </c>
      <c r="B337" s="31">
        <v>3</v>
      </c>
      <c r="C337" s="31">
        <v>3</v>
      </c>
      <c r="D337" s="31">
        <v>3</v>
      </c>
      <c r="E337" s="27">
        <v>0</v>
      </c>
      <c r="F337" s="31">
        <v>0</v>
      </c>
      <c r="G337" s="98">
        <v>0</v>
      </c>
    </row>
    <row r="338" spans="1:7" x14ac:dyDescent="0.25">
      <c r="A338" s="25" t="s">
        <v>401</v>
      </c>
      <c r="B338" s="32">
        <v>3</v>
      </c>
      <c r="C338" s="32">
        <v>2</v>
      </c>
      <c r="D338" s="32">
        <v>0</v>
      </c>
      <c r="E338" s="27">
        <v>0</v>
      </c>
      <c r="F338" s="32">
        <v>0</v>
      </c>
      <c r="G338" s="97">
        <v>0</v>
      </c>
    </row>
    <row r="339" spans="1:7" x14ac:dyDescent="0.25">
      <c r="A339" s="29" t="s">
        <v>402</v>
      </c>
      <c r="B339" s="31">
        <v>3</v>
      </c>
      <c r="C339" s="31">
        <v>1</v>
      </c>
      <c r="D339" s="31">
        <v>1</v>
      </c>
      <c r="E339" s="27">
        <v>0</v>
      </c>
      <c r="F339" s="31">
        <v>0</v>
      </c>
      <c r="G339" s="98">
        <v>0</v>
      </c>
    </row>
    <row r="340" spans="1:7" ht="30" x14ac:dyDescent="0.25">
      <c r="A340" s="25" t="s">
        <v>403</v>
      </c>
      <c r="B340" s="32">
        <v>3</v>
      </c>
      <c r="C340" s="32">
        <v>1</v>
      </c>
      <c r="D340" s="32">
        <v>0</v>
      </c>
      <c r="E340" s="27">
        <v>0</v>
      </c>
      <c r="F340" s="32">
        <v>3</v>
      </c>
      <c r="G340" s="97">
        <v>0</v>
      </c>
    </row>
    <row r="341" spans="1:7" ht="30" x14ac:dyDescent="0.25">
      <c r="A341" s="29" t="s">
        <v>404</v>
      </c>
      <c r="B341" s="31">
        <v>3</v>
      </c>
      <c r="C341" s="31">
        <v>3</v>
      </c>
      <c r="D341" s="31">
        <v>2</v>
      </c>
      <c r="E341" s="27">
        <v>21</v>
      </c>
      <c r="F341" s="31">
        <v>6</v>
      </c>
      <c r="G341" s="98">
        <v>0</v>
      </c>
    </row>
    <row r="342" spans="1:7" ht="30" x14ac:dyDescent="0.25">
      <c r="A342" s="25" t="s">
        <v>405</v>
      </c>
      <c r="B342" s="32">
        <v>3</v>
      </c>
      <c r="C342" s="32">
        <v>1</v>
      </c>
      <c r="D342" s="32">
        <v>0</v>
      </c>
      <c r="E342" s="27">
        <v>0</v>
      </c>
      <c r="F342" s="32">
        <v>4</v>
      </c>
      <c r="G342" s="97">
        <v>0</v>
      </c>
    </row>
    <row r="343" spans="1:7" x14ac:dyDescent="0.25">
      <c r="A343" s="29" t="s">
        <v>406</v>
      </c>
      <c r="B343" s="31">
        <v>3</v>
      </c>
      <c r="C343" s="31">
        <v>2</v>
      </c>
      <c r="D343" s="31">
        <v>1</v>
      </c>
      <c r="E343" s="27">
        <v>3</v>
      </c>
      <c r="F343" s="31">
        <v>0</v>
      </c>
      <c r="G343" s="98">
        <v>0</v>
      </c>
    </row>
    <row r="344" spans="1:7" x14ac:dyDescent="0.25">
      <c r="A344" s="25" t="s">
        <v>407</v>
      </c>
      <c r="B344" s="32">
        <v>3</v>
      </c>
      <c r="C344" s="32">
        <v>2</v>
      </c>
      <c r="D344" s="32">
        <v>0</v>
      </c>
      <c r="E344" s="27">
        <v>2</v>
      </c>
      <c r="F344" s="32">
        <v>0</v>
      </c>
      <c r="G344" s="97">
        <v>0</v>
      </c>
    </row>
    <row r="345" spans="1:7" x14ac:dyDescent="0.25">
      <c r="A345" s="29" t="s">
        <v>408</v>
      </c>
      <c r="B345" s="31">
        <v>3</v>
      </c>
      <c r="C345" s="31">
        <v>3</v>
      </c>
      <c r="D345" s="31">
        <v>1</v>
      </c>
      <c r="E345" s="27">
        <v>8</v>
      </c>
      <c r="F345" s="31">
        <v>0</v>
      </c>
      <c r="G345" s="98">
        <v>0</v>
      </c>
    </row>
    <row r="346" spans="1:7" x14ac:dyDescent="0.25">
      <c r="A346" s="25" t="s">
        <v>409</v>
      </c>
      <c r="B346" s="32">
        <v>3</v>
      </c>
      <c r="C346" s="32">
        <v>3</v>
      </c>
      <c r="D346" s="32">
        <v>1</v>
      </c>
      <c r="E346" s="27">
        <v>0</v>
      </c>
      <c r="F346" s="32">
        <v>0</v>
      </c>
      <c r="G346" s="97">
        <v>0</v>
      </c>
    </row>
    <row r="347" spans="1:7" x14ac:dyDescent="0.25">
      <c r="A347" s="29" t="s">
        <v>410</v>
      </c>
      <c r="B347" s="31">
        <v>3</v>
      </c>
      <c r="C347" s="31">
        <v>3</v>
      </c>
      <c r="D347" s="31">
        <v>2</v>
      </c>
      <c r="E347" s="27">
        <v>0</v>
      </c>
      <c r="F347" s="31">
        <v>0</v>
      </c>
      <c r="G347" s="98">
        <v>0</v>
      </c>
    </row>
    <row r="348" spans="1:7" ht="30" x14ac:dyDescent="0.25">
      <c r="A348" s="25" t="s">
        <v>411</v>
      </c>
      <c r="B348" s="32">
        <v>3</v>
      </c>
      <c r="C348" s="32">
        <v>2</v>
      </c>
      <c r="D348" s="32">
        <v>1</v>
      </c>
      <c r="E348" s="27">
        <v>9</v>
      </c>
      <c r="F348" s="32">
        <v>8</v>
      </c>
      <c r="G348" s="97">
        <v>0</v>
      </c>
    </row>
    <row r="349" spans="1:7" ht="30" x14ac:dyDescent="0.25">
      <c r="A349" s="29" t="s">
        <v>412</v>
      </c>
      <c r="B349" s="31">
        <v>3</v>
      </c>
      <c r="C349" s="31">
        <v>3</v>
      </c>
      <c r="D349" s="31">
        <v>2</v>
      </c>
      <c r="E349" s="27">
        <v>6</v>
      </c>
      <c r="F349" s="31">
        <v>3</v>
      </c>
      <c r="G349" s="98">
        <v>0</v>
      </c>
    </row>
    <row r="350" spans="1:7" ht="30" x14ac:dyDescent="0.25">
      <c r="A350" s="25" t="s">
        <v>413</v>
      </c>
      <c r="B350" s="32">
        <v>3</v>
      </c>
      <c r="C350" s="32">
        <v>3</v>
      </c>
      <c r="D350" s="32">
        <v>3</v>
      </c>
      <c r="E350" s="27">
        <v>2</v>
      </c>
      <c r="F350" s="32">
        <v>2</v>
      </c>
      <c r="G350" s="97">
        <v>0</v>
      </c>
    </row>
    <row r="351" spans="1:7" ht="30" x14ac:dyDescent="0.25">
      <c r="A351" s="29" t="s">
        <v>414</v>
      </c>
      <c r="B351" s="31">
        <v>3</v>
      </c>
      <c r="C351" s="31">
        <v>3</v>
      </c>
      <c r="D351" s="31">
        <v>3</v>
      </c>
      <c r="E351" s="27">
        <v>1</v>
      </c>
      <c r="F351" s="31">
        <v>2</v>
      </c>
      <c r="G351" s="98">
        <v>0</v>
      </c>
    </row>
    <row r="352" spans="1:7" ht="30" x14ac:dyDescent="0.25">
      <c r="A352" s="25" t="s">
        <v>415</v>
      </c>
      <c r="B352" s="32">
        <v>3</v>
      </c>
      <c r="C352" s="32">
        <v>1</v>
      </c>
      <c r="D352" s="32">
        <v>0</v>
      </c>
      <c r="E352" s="27">
        <v>2</v>
      </c>
      <c r="F352" s="32">
        <v>2</v>
      </c>
      <c r="G352" s="97">
        <v>0</v>
      </c>
    </row>
    <row r="353" spans="1:7" ht="30" x14ac:dyDescent="0.25">
      <c r="A353" s="29" t="s">
        <v>416</v>
      </c>
      <c r="B353" s="31">
        <v>3</v>
      </c>
      <c r="C353" s="31">
        <v>3</v>
      </c>
      <c r="D353" s="31">
        <v>2</v>
      </c>
      <c r="E353" s="27">
        <v>5</v>
      </c>
      <c r="F353" s="31">
        <v>3</v>
      </c>
      <c r="G353" s="98">
        <v>0</v>
      </c>
    </row>
    <row r="354" spans="1:7" ht="30" x14ac:dyDescent="0.25">
      <c r="A354" s="25" t="s">
        <v>417</v>
      </c>
      <c r="B354" s="32">
        <v>3</v>
      </c>
      <c r="C354" s="32">
        <v>2</v>
      </c>
      <c r="D354" s="32">
        <v>1</v>
      </c>
      <c r="E354" s="27">
        <v>2</v>
      </c>
      <c r="F354" s="32">
        <v>3</v>
      </c>
      <c r="G354" s="97">
        <v>0</v>
      </c>
    </row>
    <row r="355" spans="1:7" ht="30" x14ac:dyDescent="0.25">
      <c r="A355" s="29" t="s">
        <v>418</v>
      </c>
      <c r="B355" s="31">
        <v>3</v>
      </c>
      <c r="C355" s="31">
        <v>3</v>
      </c>
      <c r="D355" s="31">
        <v>3</v>
      </c>
      <c r="E355" s="27">
        <v>7</v>
      </c>
      <c r="F355" s="31">
        <v>7</v>
      </c>
      <c r="G355" s="98">
        <v>0</v>
      </c>
    </row>
    <row r="356" spans="1:7" ht="30" x14ac:dyDescent="0.25">
      <c r="A356" s="25" t="s">
        <v>419</v>
      </c>
      <c r="B356" s="32">
        <v>3</v>
      </c>
      <c r="C356" s="32">
        <v>3</v>
      </c>
      <c r="D356" s="32">
        <v>1</v>
      </c>
      <c r="E356" s="27">
        <v>12</v>
      </c>
      <c r="F356" s="32">
        <v>11</v>
      </c>
      <c r="G356" s="97">
        <v>0</v>
      </c>
    </row>
    <row r="357" spans="1:7" ht="30" x14ac:dyDescent="0.25">
      <c r="A357" s="29" t="s">
        <v>420</v>
      </c>
      <c r="B357" s="31">
        <v>3</v>
      </c>
      <c r="C357" s="31">
        <v>2</v>
      </c>
      <c r="D357" s="31">
        <v>2</v>
      </c>
      <c r="E357" s="27">
        <v>0</v>
      </c>
      <c r="F357" s="31">
        <v>18</v>
      </c>
      <c r="G357" s="98">
        <v>0</v>
      </c>
    </row>
    <row r="358" spans="1:7" ht="30" x14ac:dyDescent="0.25">
      <c r="A358" s="25" t="s">
        <v>421</v>
      </c>
      <c r="B358" s="32">
        <v>3</v>
      </c>
      <c r="C358" s="32">
        <v>3</v>
      </c>
      <c r="D358" s="32">
        <v>0</v>
      </c>
      <c r="E358" s="27">
        <v>374</v>
      </c>
      <c r="F358" s="32">
        <v>48</v>
      </c>
      <c r="G358" s="97">
        <v>263.27</v>
      </c>
    </row>
    <row r="359" spans="1:7" ht="30" x14ac:dyDescent="0.25">
      <c r="A359" s="29" t="s">
        <v>422</v>
      </c>
      <c r="B359" s="31">
        <v>3</v>
      </c>
      <c r="C359" s="31">
        <v>3</v>
      </c>
      <c r="D359" s="31">
        <v>0</v>
      </c>
      <c r="E359" s="27">
        <v>17</v>
      </c>
      <c r="F359" s="31">
        <v>6</v>
      </c>
      <c r="G359" s="98">
        <v>0</v>
      </c>
    </row>
    <row r="360" spans="1:7" ht="30" x14ac:dyDescent="0.25">
      <c r="A360" s="25" t="s">
        <v>423</v>
      </c>
      <c r="B360" s="32">
        <v>3</v>
      </c>
      <c r="C360" s="32">
        <v>3</v>
      </c>
      <c r="D360" s="32">
        <v>0</v>
      </c>
      <c r="E360" s="27">
        <v>6</v>
      </c>
      <c r="F360" s="32">
        <v>2</v>
      </c>
      <c r="G360" s="97">
        <v>0</v>
      </c>
    </row>
    <row r="361" spans="1:7" ht="30" x14ac:dyDescent="0.25">
      <c r="A361" s="29" t="s">
        <v>424</v>
      </c>
      <c r="B361" s="31">
        <v>3</v>
      </c>
      <c r="C361" s="31">
        <v>3</v>
      </c>
      <c r="D361" s="31">
        <v>2</v>
      </c>
      <c r="E361" s="27">
        <v>31</v>
      </c>
      <c r="F361" s="31">
        <v>4</v>
      </c>
      <c r="G361" s="98">
        <v>0</v>
      </c>
    </row>
    <row r="362" spans="1:7" ht="30" x14ac:dyDescent="0.25">
      <c r="A362" s="25" t="s">
        <v>425</v>
      </c>
      <c r="B362" s="32">
        <v>3</v>
      </c>
      <c r="C362" s="32">
        <v>3</v>
      </c>
      <c r="D362" s="32">
        <v>2</v>
      </c>
      <c r="E362" s="27">
        <v>15</v>
      </c>
      <c r="F362" s="32">
        <v>4</v>
      </c>
      <c r="G362" s="97">
        <v>0</v>
      </c>
    </row>
    <row r="363" spans="1:7" ht="30" x14ac:dyDescent="0.25">
      <c r="A363" s="29" t="s">
        <v>426</v>
      </c>
      <c r="B363" s="31">
        <v>3</v>
      </c>
      <c r="C363" s="31">
        <v>3</v>
      </c>
      <c r="D363" s="31">
        <v>2</v>
      </c>
      <c r="E363" s="27">
        <v>0</v>
      </c>
      <c r="F363" s="31">
        <v>3</v>
      </c>
      <c r="G363" s="98">
        <v>0</v>
      </c>
    </row>
    <row r="364" spans="1:7" ht="30" x14ac:dyDescent="0.25">
      <c r="A364" s="25" t="s">
        <v>427</v>
      </c>
      <c r="B364" s="32">
        <v>3</v>
      </c>
      <c r="C364" s="32">
        <v>2</v>
      </c>
      <c r="D364" s="32">
        <v>2</v>
      </c>
      <c r="E364" s="27">
        <v>1</v>
      </c>
      <c r="F364" s="32">
        <v>3</v>
      </c>
      <c r="G364" s="97">
        <v>0</v>
      </c>
    </row>
    <row r="365" spans="1:7" ht="30" x14ac:dyDescent="0.25">
      <c r="A365" s="29" t="s">
        <v>428</v>
      </c>
      <c r="B365" s="31">
        <v>3</v>
      </c>
      <c r="C365" s="31">
        <v>3</v>
      </c>
      <c r="D365" s="31">
        <v>3</v>
      </c>
      <c r="E365" s="27">
        <v>3</v>
      </c>
      <c r="F365" s="31">
        <v>4</v>
      </c>
      <c r="G365" s="98">
        <v>0</v>
      </c>
    </row>
    <row r="366" spans="1:7" ht="30" x14ac:dyDescent="0.25">
      <c r="A366" s="25" t="s">
        <v>429</v>
      </c>
      <c r="B366" s="32">
        <v>3</v>
      </c>
      <c r="C366" s="32">
        <v>3</v>
      </c>
      <c r="D366" s="32">
        <v>2</v>
      </c>
      <c r="E366" s="27">
        <v>5</v>
      </c>
      <c r="F366" s="32">
        <v>0</v>
      </c>
      <c r="G366" s="97">
        <v>0</v>
      </c>
    </row>
    <row r="367" spans="1:7" ht="30" x14ac:dyDescent="0.25">
      <c r="A367" s="29" t="s">
        <v>430</v>
      </c>
      <c r="B367" s="31">
        <v>3</v>
      </c>
      <c r="C367" s="31">
        <v>2</v>
      </c>
      <c r="D367" s="31">
        <v>0</v>
      </c>
      <c r="E367" s="27">
        <v>18</v>
      </c>
      <c r="F367" s="31">
        <v>9</v>
      </c>
      <c r="G367" s="98">
        <v>0</v>
      </c>
    </row>
    <row r="368" spans="1:7" ht="30" x14ac:dyDescent="0.25">
      <c r="A368" s="25" t="s">
        <v>431</v>
      </c>
      <c r="B368" s="32">
        <v>3</v>
      </c>
      <c r="C368" s="32">
        <v>3</v>
      </c>
      <c r="D368" s="32">
        <v>1</v>
      </c>
      <c r="E368" s="27">
        <v>10</v>
      </c>
      <c r="F368" s="32">
        <v>4</v>
      </c>
      <c r="G368" s="97">
        <v>0</v>
      </c>
    </row>
    <row r="369" spans="1:7" ht="30" x14ac:dyDescent="0.25">
      <c r="A369" s="29" t="s">
        <v>432</v>
      </c>
      <c r="B369" s="31">
        <v>3</v>
      </c>
      <c r="C369" s="31">
        <v>3</v>
      </c>
      <c r="D369" s="31">
        <v>1</v>
      </c>
      <c r="E369" s="27">
        <v>2</v>
      </c>
      <c r="F369" s="31">
        <v>2</v>
      </c>
      <c r="G369" s="98">
        <v>0</v>
      </c>
    </row>
    <row r="370" spans="1:7" ht="30" x14ac:dyDescent="0.25">
      <c r="A370" s="25" t="s">
        <v>433</v>
      </c>
      <c r="B370" s="32">
        <v>3</v>
      </c>
      <c r="C370" s="32">
        <v>3</v>
      </c>
      <c r="D370" s="32">
        <v>2</v>
      </c>
      <c r="E370" s="27">
        <v>1</v>
      </c>
      <c r="F370" s="32">
        <v>4</v>
      </c>
      <c r="G370" s="97">
        <v>0</v>
      </c>
    </row>
    <row r="371" spans="1:7" ht="30" x14ac:dyDescent="0.25">
      <c r="A371" s="29" t="s">
        <v>434</v>
      </c>
      <c r="B371" s="31">
        <v>3</v>
      </c>
      <c r="C371" s="31">
        <v>1</v>
      </c>
      <c r="D371" s="31">
        <v>1</v>
      </c>
      <c r="E371" s="27">
        <v>5</v>
      </c>
      <c r="F371" s="31">
        <v>3</v>
      </c>
      <c r="G371" s="98">
        <v>0</v>
      </c>
    </row>
    <row r="372" spans="1:7" ht="30" x14ac:dyDescent="0.25">
      <c r="A372" s="25" t="s">
        <v>435</v>
      </c>
      <c r="B372" s="32">
        <v>3</v>
      </c>
      <c r="C372" s="32">
        <v>2</v>
      </c>
      <c r="D372" s="32">
        <v>1</v>
      </c>
      <c r="E372" s="27">
        <v>187</v>
      </c>
      <c r="F372" s="32">
        <v>6</v>
      </c>
      <c r="G372" s="97">
        <v>0</v>
      </c>
    </row>
    <row r="373" spans="1:7" ht="30" x14ac:dyDescent="0.25">
      <c r="A373" s="29" t="s">
        <v>436</v>
      </c>
      <c r="B373" s="31">
        <v>3</v>
      </c>
      <c r="C373" s="31">
        <v>3</v>
      </c>
      <c r="D373" s="31">
        <v>2</v>
      </c>
      <c r="E373" s="27">
        <v>28</v>
      </c>
      <c r="F373" s="31">
        <v>1</v>
      </c>
      <c r="G373" s="98">
        <v>0</v>
      </c>
    </row>
    <row r="374" spans="1:7" ht="30" x14ac:dyDescent="0.25">
      <c r="A374" s="25" t="s">
        <v>437</v>
      </c>
      <c r="B374" s="32">
        <v>3</v>
      </c>
      <c r="C374" s="32">
        <v>2</v>
      </c>
      <c r="D374" s="32">
        <v>0</v>
      </c>
      <c r="E374" s="27">
        <v>5</v>
      </c>
      <c r="F374" s="32">
        <v>6</v>
      </c>
      <c r="G374" s="97">
        <v>0</v>
      </c>
    </row>
    <row r="375" spans="1:7" ht="30" x14ac:dyDescent="0.25">
      <c r="A375" s="29" t="s">
        <v>438</v>
      </c>
      <c r="B375" s="31">
        <v>3</v>
      </c>
      <c r="C375" s="31">
        <v>3</v>
      </c>
      <c r="D375" s="31">
        <v>3</v>
      </c>
      <c r="E375" s="27">
        <v>6</v>
      </c>
      <c r="F375" s="31">
        <v>3</v>
      </c>
      <c r="G375" s="98">
        <v>0</v>
      </c>
    </row>
    <row r="376" spans="1:7" ht="30" x14ac:dyDescent="0.25">
      <c r="A376" s="25" t="s">
        <v>439</v>
      </c>
      <c r="B376" s="32">
        <v>3</v>
      </c>
      <c r="C376" s="32">
        <v>3</v>
      </c>
      <c r="D376" s="32">
        <v>3</v>
      </c>
      <c r="E376" s="27">
        <v>10</v>
      </c>
      <c r="F376" s="32">
        <v>3</v>
      </c>
      <c r="G376" s="97">
        <v>0</v>
      </c>
    </row>
    <row r="377" spans="1:7" ht="30" x14ac:dyDescent="0.25">
      <c r="A377" s="29" t="s">
        <v>440</v>
      </c>
      <c r="B377" s="31">
        <v>3</v>
      </c>
      <c r="C377" s="31">
        <v>2</v>
      </c>
      <c r="D377" s="31">
        <v>1</v>
      </c>
      <c r="E377" s="27">
        <v>8</v>
      </c>
      <c r="F377" s="31">
        <v>4</v>
      </c>
      <c r="G377" s="98">
        <v>0</v>
      </c>
    </row>
    <row r="378" spans="1:7" x14ac:dyDescent="0.25">
      <c r="A378" s="25" t="s">
        <v>441</v>
      </c>
      <c r="B378" s="32">
        <v>3</v>
      </c>
      <c r="C378" s="32">
        <v>3</v>
      </c>
      <c r="D378" s="32">
        <v>1</v>
      </c>
      <c r="E378" s="27">
        <v>0</v>
      </c>
      <c r="F378" s="32">
        <v>3</v>
      </c>
      <c r="G378" s="97">
        <v>0</v>
      </c>
    </row>
    <row r="379" spans="1:7" ht="30" x14ac:dyDescent="0.25">
      <c r="A379" s="29" t="s">
        <v>442</v>
      </c>
      <c r="B379" s="31">
        <v>3</v>
      </c>
      <c r="C379" s="31">
        <v>3</v>
      </c>
      <c r="D379" s="31">
        <v>3</v>
      </c>
      <c r="E379" s="27">
        <v>20</v>
      </c>
      <c r="F379" s="31">
        <v>3</v>
      </c>
      <c r="G379" s="98">
        <v>0</v>
      </c>
    </row>
    <row r="380" spans="1:7" x14ac:dyDescent="0.25">
      <c r="A380" s="25" t="s">
        <v>443</v>
      </c>
      <c r="B380" s="32">
        <v>3</v>
      </c>
      <c r="C380" s="32">
        <v>3</v>
      </c>
      <c r="D380" s="32">
        <v>0</v>
      </c>
      <c r="E380" s="27">
        <v>1</v>
      </c>
      <c r="F380" s="32">
        <v>0</v>
      </c>
      <c r="G380" s="97">
        <v>0</v>
      </c>
    </row>
    <row r="381" spans="1:7" ht="30" x14ac:dyDescent="0.25">
      <c r="A381" s="29" t="s">
        <v>444</v>
      </c>
      <c r="B381" s="31">
        <v>2</v>
      </c>
      <c r="C381" s="31">
        <v>2</v>
      </c>
      <c r="D381" s="31">
        <v>2</v>
      </c>
      <c r="E381" s="27">
        <v>0</v>
      </c>
      <c r="F381" s="31">
        <v>0</v>
      </c>
      <c r="G381" s="98">
        <v>0</v>
      </c>
    </row>
    <row r="382" spans="1:7" ht="30" x14ac:dyDescent="0.25">
      <c r="A382" s="25" t="s">
        <v>445</v>
      </c>
      <c r="B382" s="32">
        <v>2</v>
      </c>
      <c r="C382" s="32">
        <v>1</v>
      </c>
      <c r="D382" s="32">
        <v>0</v>
      </c>
      <c r="E382" s="27">
        <v>3</v>
      </c>
      <c r="F382" s="32">
        <v>0</v>
      </c>
      <c r="G382" s="97">
        <v>0</v>
      </c>
    </row>
    <row r="383" spans="1:7" x14ac:dyDescent="0.25">
      <c r="A383" s="29" t="s">
        <v>446</v>
      </c>
      <c r="B383" s="31">
        <v>2</v>
      </c>
      <c r="C383" s="31">
        <v>1</v>
      </c>
      <c r="D383" s="31">
        <v>0</v>
      </c>
      <c r="E383" s="27">
        <v>14</v>
      </c>
      <c r="F383" s="31">
        <v>0</v>
      </c>
      <c r="G383" s="98">
        <v>0</v>
      </c>
    </row>
    <row r="384" spans="1:7" x14ac:dyDescent="0.25">
      <c r="A384" s="25" t="s">
        <v>447</v>
      </c>
      <c r="B384" s="32">
        <v>2</v>
      </c>
      <c r="C384" s="32">
        <v>2</v>
      </c>
      <c r="D384" s="32">
        <v>1</v>
      </c>
      <c r="E384" s="27">
        <v>0</v>
      </c>
      <c r="F384" s="32">
        <v>0</v>
      </c>
      <c r="G384" s="97">
        <v>0</v>
      </c>
    </row>
    <row r="385" spans="1:7" ht="30" x14ac:dyDescent="0.25">
      <c r="A385" s="29" t="s">
        <v>448</v>
      </c>
      <c r="B385" s="31">
        <v>2</v>
      </c>
      <c r="C385" s="31">
        <v>1</v>
      </c>
      <c r="D385" s="31">
        <v>0</v>
      </c>
      <c r="E385" s="27">
        <v>1</v>
      </c>
      <c r="F385" s="31">
        <v>2</v>
      </c>
      <c r="G385" s="98">
        <v>0</v>
      </c>
    </row>
    <row r="386" spans="1:7" ht="30" x14ac:dyDescent="0.25">
      <c r="A386" s="25" t="s">
        <v>449</v>
      </c>
      <c r="B386" s="32">
        <v>2</v>
      </c>
      <c r="C386" s="32">
        <v>2</v>
      </c>
      <c r="D386" s="32">
        <v>2</v>
      </c>
      <c r="E386" s="27">
        <v>0</v>
      </c>
      <c r="F386" s="32">
        <v>2</v>
      </c>
      <c r="G386" s="97">
        <v>0</v>
      </c>
    </row>
    <row r="387" spans="1:7" ht="30" x14ac:dyDescent="0.25">
      <c r="A387" s="29" t="s">
        <v>450</v>
      </c>
      <c r="B387" s="31">
        <v>2</v>
      </c>
      <c r="C387" s="31">
        <v>2</v>
      </c>
      <c r="D387" s="31">
        <v>2</v>
      </c>
      <c r="E387" s="27">
        <v>8</v>
      </c>
      <c r="F387" s="31">
        <v>3</v>
      </c>
      <c r="G387" s="98">
        <v>0</v>
      </c>
    </row>
    <row r="388" spans="1:7" ht="30" x14ac:dyDescent="0.25">
      <c r="A388" s="25" t="s">
        <v>451</v>
      </c>
      <c r="B388" s="32">
        <v>2</v>
      </c>
      <c r="C388" s="32">
        <v>1</v>
      </c>
      <c r="D388" s="32">
        <v>1</v>
      </c>
      <c r="E388" s="27">
        <v>0</v>
      </c>
      <c r="F388" s="32">
        <v>2</v>
      </c>
      <c r="G388" s="97">
        <v>0</v>
      </c>
    </row>
    <row r="389" spans="1:7" x14ac:dyDescent="0.25">
      <c r="A389" s="29" t="s">
        <v>452</v>
      </c>
      <c r="B389" s="31">
        <v>2</v>
      </c>
      <c r="C389" s="31">
        <v>2</v>
      </c>
      <c r="D389" s="31">
        <v>1</v>
      </c>
      <c r="E389" s="27">
        <v>0</v>
      </c>
      <c r="F389" s="31">
        <v>0</v>
      </c>
      <c r="G389" s="98">
        <v>0</v>
      </c>
    </row>
    <row r="390" spans="1:7" x14ac:dyDescent="0.25">
      <c r="A390" s="25" t="s">
        <v>453</v>
      </c>
      <c r="B390" s="32">
        <v>2</v>
      </c>
      <c r="C390" s="32">
        <v>2</v>
      </c>
      <c r="D390" s="32">
        <v>1</v>
      </c>
      <c r="E390" s="27">
        <v>5</v>
      </c>
      <c r="F390" s="32">
        <v>0</v>
      </c>
      <c r="G390" s="97">
        <v>0</v>
      </c>
    </row>
    <row r="391" spans="1:7" x14ac:dyDescent="0.25">
      <c r="A391" s="29" t="s">
        <v>454</v>
      </c>
      <c r="B391" s="31">
        <v>2</v>
      </c>
      <c r="C391" s="31">
        <v>2</v>
      </c>
      <c r="D391" s="31">
        <v>1</v>
      </c>
      <c r="E391" s="27">
        <v>2</v>
      </c>
      <c r="F391" s="31">
        <v>0</v>
      </c>
      <c r="G391" s="98">
        <v>0</v>
      </c>
    </row>
    <row r="392" spans="1:7" x14ac:dyDescent="0.25">
      <c r="A392" s="25" t="s">
        <v>455</v>
      </c>
      <c r="B392" s="32">
        <v>2</v>
      </c>
      <c r="C392" s="32">
        <v>2</v>
      </c>
      <c r="D392" s="32">
        <v>2</v>
      </c>
      <c r="E392" s="27">
        <v>0</v>
      </c>
      <c r="F392" s="32">
        <v>0</v>
      </c>
      <c r="G392" s="97">
        <v>0</v>
      </c>
    </row>
    <row r="393" spans="1:7" ht="30" x14ac:dyDescent="0.25">
      <c r="A393" s="29" t="s">
        <v>456</v>
      </c>
      <c r="B393" s="31">
        <v>2</v>
      </c>
      <c r="C393" s="31">
        <v>2</v>
      </c>
      <c r="D393" s="31">
        <v>1</v>
      </c>
      <c r="E393" s="27">
        <v>22</v>
      </c>
      <c r="F393" s="31">
        <v>2</v>
      </c>
      <c r="G393" s="98">
        <v>0</v>
      </c>
    </row>
    <row r="394" spans="1:7" ht="30" x14ac:dyDescent="0.25">
      <c r="A394" s="25" t="s">
        <v>457</v>
      </c>
      <c r="B394" s="32">
        <v>2</v>
      </c>
      <c r="C394" s="32">
        <v>2</v>
      </c>
      <c r="D394" s="32">
        <v>2</v>
      </c>
      <c r="E394" s="27">
        <v>4</v>
      </c>
      <c r="F394" s="32">
        <v>2</v>
      </c>
      <c r="G394" s="97">
        <v>0</v>
      </c>
    </row>
    <row r="395" spans="1:7" ht="30" x14ac:dyDescent="0.25">
      <c r="A395" s="29" t="s">
        <v>458</v>
      </c>
      <c r="B395" s="31">
        <v>2</v>
      </c>
      <c r="C395" s="31">
        <v>2</v>
      </c>
      <c r="D395" s="31">
        <v>0</v>
      </c>
      <c r="E395" s="27">
        <v>0</v>
      </c>
      <c r="F395" s="31">
        <v>2</v>
      </c>
      <c r="G395" s="98">
        <v>0</v>
      </c>
    </row>
    <row r="396" spans="1:7" ht="30" x14ac:dyDescent="0.25">
      <c r="A396" s="25" t="s">
        <v>459</v>
      </c>
      <c r="B396" s="32">
        <v>2</v>
      </c>
      <c r="C396" s="32">
        <v>2</v>
      </c>
      <c r="D396" s="32">
        <v>1</v>
      </c>
      <c r="E396" s="27">
        <v>20</v>
      </c>
      <c r="F396" s="32">
        <v>3</v>
      </c>
      <c r="G396" s="97">
        <v>0</v>
      </c>
    </row>
    <row r="397" spans="1:7" ht="30" x14ac:dyDescent="0.25">
      <c r="A397" s="29" t="s">
        <v>460</v>
      </c>
      <c r="B397" s="31">
        <v>2</v>
      </c>
      <c r="C397" s="31">
        <v>1</v>
      </c>
      <c r="D397" s="31">
        <v>0</v>
      </c>
      <c r="E397" s="27">
        <v>0</v>
      </c>
      <c r="F397" s="31">
        <v>3</v>
      </c>
      <c r="G397" s="98">
        <v>0</v>
      </c>
    </row>
    <row r="398" spans="1:7" ht="30" x14ac:dyDescent="0.25">
      <c r="A398" s="25" t="s">
        <v>461</v>
      </c>
      <c r="B398" s="32">
        <v>2</v>
      </c>
      <c r="C398" s="32">
        <v>2</v>
      </c>
      <c r="D398" s="32">
        <v>0</v>
      </c>
      <c r="E398" s="27">
        <v>1</v>
      </c>
      <c r="F398" s="32">
        <v>1</v>
      </c>
      <c r="G398" s="97">
        <v>0</v>
      </c>
    </row>
    <row r="399" spans="1:7" ht="30" x14ac:dyDescent="0.25">
      <c r="A399" s="29" t="s">
        <v>462</v>
      </c>
      <c r="B399" s="31">
        <v>2</v>
      </c>
      <c r="C399" s="31">
        <v>2</v>
      </c>
      <c r="D399" s="31">
        <v>1</v>
      </c>
      <c r="E399" s="27">
        <v>6</v>
      </c>
      <c r="F399" s="31">
        <v>2</v>
      </c>
      <c r="G399" s="98">
        <v>0</v>
      </c>
    </row>
    <row r="400" spans="1:7" ht="30" x14ac:dyDescent="0.25">
      <c r="A400" s="25" t="s">
        <v>463</v>
      </c>
      <c r="B400" s="32">
        <v>2</v>
      </c>
      <c r="C400" s="32">
        <v>1</v>
      </c>
      <c r="D400" s="32">
        <v>0</v>
      </c>
      <c r="E400" s="27">
        <v>6</v>
      </c>
      <c r="F400" s="32">
        <v>5</v>
      </c>
      <c r="G400" s="97">
        <v>0</v>
      </c>
    </row>
    <row r="401" spans="1:7" ht="30" x14ac:dyDescent="0.25">
      <c r="A401" s="29" t="s">
        <v>464</v>
      </c>
      <c r="B401" s="31">
        <v>2</v>
      </c>
      <c r="C401" s="31">
        <v>2</v>
      </c>
      <c r="D401" s="31">
        <v>1</v>
      </c>
      <c r="E401" s="27">
        <v>17</v>
      </c>
      <c r="F401" s="31">
        <v>7</v>
      </c>
      <c r="G401" s="98">
        <v>0</v>
      </c>
    </row>
    <row r="402" spans="1:7" ht="30" x14ac:dyDescent="0.25">
      <c r="A402" s="25" t="s">
        <v>465</v>
      </c>
      <c r="B402" s="32">
        <v>2</v>
      </c>
      <c r="C402" s="32">
        <v>1</v>
      </c>
      <c r="D402" s="32">
        <v>1</v>
      </c>
      <c r="E402" s="27">
        <v>10</v>
      </c>
      <c r="F402" s="32">
        <v>2</v>
      </c>
      <c r="G402" s="97">
        <v>0</v>
      </c>
    </row>
    <row r="403" spans="1:7" ht="30" x14ac:dyDescent="0.25">
      <c r="A403" s="29" t="s">
        <v>466</v>
      </c>
      <c r="B403" s="31">
        <v>2</v>
      </c>
      <c r="C403" s="31">
        <v>2</v>
      </c>
      <c r="D403" s="31">
        <v>1</v>
      </c>
      <c r="E403" s="27">
        <v>8</v>
      </c>
      <c r="F403" s="31">
        <v>3</v>
      </c>
      <c r="G403" s="98">
        <v>0</v>
      </c>
    </row>
    <row r="404" spans="1:7" ht="30" x14ac:dyDescent="0.25">
      <c r="A404" s="25" t="s">
        <v>467</v>
      </c>
      <c r="B404" s="32">
        <v>2</v>
      </c>
      <c r="C404" s="32">
        <v>2</v>
      </c>
      <c r="D404" s="32">
        <v>1</v>
      </c>
      <c r="E404" s="27">
        <v>0</v>
      </c>
      <c r="F404" s="32">
        <v>0</v>
      </c>
      <c r="G404" s="97">
        <v>0</v>
      </c>
    </row>
    <row r="405" spans="1:7" ht="30" x14ac:dyDescent="0.25">
      <c r="A405" s="29" t="s">
        <v>468</v>
      </c>
      <c r="B405" s="31">
        <v>2</v>
      </c>
      <c r="C405" s="31">
        <v>2</v>
      </c>
      <c r="D405" s="31">
        <v>1</v>
      </c>
      <c r="E405" s="27">
        <v>13</v>
      </c>
      <c r="F405" s="31">
        <v>2</v>
      </c>
      <c r="G405" s="98">
        <v>0</v>
      </c>
    </row>
    <row r="406" spans="1:7" ht="30" x14ac:dyDescent="0.25">
      <c r="A406" s="25" t="s">
        <v>469</v>
      </c>
      <c r="B406" s="32">
        <v>2</v>
      </c>
      <c r="C406" s="32">
        <v>2</v>
      </c>
      <c r="D406" s="32">
        <v>0</v>
      </c>
      <c r="E406" s="27">
        <v>15</v>
      </c>
      <c r="F406" s="32">
        <v>3</v>
      </c>
      <c r="G406" s="97">
        <v>0</v>
      </c>
    </row>
    <row r="407" spans="1:7" ht="30" x14ac:dyDescent="0.25">
      <c r="A407" s="29" t="s">
        <v>470</v>
      </c>
      <c r="B407" s="31">
        <v>2</v>
      </c>
      <c r="C407" s="31">
        <v>2</v>
      </c>
      <c r="D407" s="31">
        <v>1</v>
      </c>
      <c r="E407" s="27">
        <v>2</v>
      </c>
      <c r="F407" s="31">
        <v>3</v>
      </c>
      <c r="G407" s="98">
        <v>0</v>
      </c>
    </row>
    <row r="408" spans="1:7" ht="30" x14ac:dyDescent="0.25">
      <c r="A408" s="25" t="s">
        <v>471</v>
      </c>
      <c r="B408" s="32">
        <v>2</v>
      </c>
      <c r="C408" s="32">
        <v>2</v>
      </c>
      <c r="D408" s="32">
        <v>0</v>
      </c>
      <c r="E408" s="27">
        <v>12</v>
      </c>
      <c r="F408" s="32">
        <v>1</v>
      </c>
      <c r="G408" s="97">
        <v>0</v>
      </c>
    </row>
    <row r="409" spans="1:7" ht="30" x14ac:dyDescent="0.25">
      <c r="A409" s="29" t="s">
        <v>472</v>
      </c>
      <c r="B409" s="31">
        <v>2</v>
      </c>
      <c r="C409" s="31">
        <v>2</v>
      </c>
      <c r="D409" s="31">
        <v>2</v>
      </c>
      <c r="E409" s="27">
        <v>0</v>
      </c>
      <c r="F409" s="31">
        <v>0</v>
      </c>
      <c r="G409" s="98">
        <v>0</v>
      </c>
    </row>
    <row r="410" spans="1:7" ht="30" x14ac:dyDescent="0.25">
      <c r="A410" s="25" t="s">
        <v>473</v>
      </c>
      <c r="B410" s="32">
        <v>2</v>
      </c>
      <c r="C410" s="32">
        <v>2</v>
      </c>
      <c r="D410" s="32">
        <v>0</v>
      </c>
      <c r="E410" s="27">
        <v>7</v>
      </c>
      <c r="F410" s="32">
        <v>4</v>
      </c>
      <c r="G410" s="97">
        <v>0</v>
      </c>
    </row>
    <row r="411" spans="1:7" ht="30" x14ac:dyDescent="0.25">
      <c r="A411" s="29" t="s">
        <v>474</v>
      </c>
      <c r="B411" s="31">
        <v>2</v>
      </c>
      <c r="C411" s="31">
        <v>2</v>
      </c>
      <c r="D411" s="31">
        <v>1</v>
      </c>
      <c r="E411" s="27">
        <v>6</v>
      </c>
      <c r="F411" s="31">
        <v>0</v>
      </c>
      <c r="G411" s="98">
        <v>0</v>
      </c>
    </row>
    <row r="412" spans="1:7" ht="30" x14ac:dyDescent="0.25">
      <c r="A412" s="25" t="s">
        <v>475</v>
      </c>
      <c r="B412" s="32">
        <v>2</v>
      </c>
      <c r="C412" s="32">
        <v>1</v>
      </c>
      <c r="D412" s="32">
        <v>1</v>
      </c>
      <c r="E412" s="27">
        <v>0</v>
      </c>
      <c r="F412" s="32">
        <v>3</v>
      </c>
      <c r="G412" s="97">
        <v>0</v>
      </c>
    </row>
    <row r="413" spans="1:7" ht="30" x14ac:dyDescent="0.25">
      <c r="A413" s="29" t="s">
        <v>476</v>
      </c>
      <c r="B413" s="31">
        <v>2</v>
      </c>
      <c r="C413" s="31">
        <v>2</v>
      </c>
      <c r="D413" s="31">
        <v>2</v>
      </c>
      <c r="E413" s="27">
        <v>1</v>
      </c>
      <c r="F413" s="31">
        <v>3</v>
      </c>
      <c r="G413" s="98">
        <v>0</v>
      </c>
    </row>
    <row r="414" spans="1:7" ht="30" x14ac:dyDescent="0.25">
      <c r="A414" s="25" t="s">
        <v>477</v>
      </c>
      <c r="B414" s="32">
        <v>2</v>
      </c>
      <c r="C414" s="32">
        <v>2</v>
      </c>
      <c r="D414" s="32">
        <v>2</v>
      </c>
      <c r="E414" s="27">
        <v>1</v>
      </c>
      <c r="F414" s="32">
        <v>1</v>
      </c>
      <c r="G414" s="97">
        <v>0</v>
      </c>
    </row>
    <row r="415" spans="1:7" ht="30" x14ac:dyDescent="0.25">
      <c r="A415" s="29" t="s">
        <v>478</v>
      </c>
      <c r="B415" s="31">
        <v>2</v>
      </c>
      <c r="C415" s="31">
        <v>2</v>
      </c>
      <c r="D415" s="31">
        <v>1</v>
      </c>
      <c r="E415" s="27">
        <v>48</v>
      </c>
      <c r="F415" s="31">
        <v>2</v>
      </c>
      <c r="G415" s="98">
        <v>0</v>
      </c>
    </row>
    <row r="416" spans="1:7" ht="30" x14ac:dyDescent="0.25">
      <c r="A416" s="25" t="s">
        <v>479</v>
      </c>
      <c r="B416" s="32">
        <v>2</v>
      </c>
      <c r="C416" s="32">
        <v>1</v>
      </c>
      <c r="D416" s="32">
        <v>1</v>
      </c>
      <c r="E416" s="27">
        <v>26</v>
      </c>
      <c r="F416" s="32">
        <v>2</v>
      </c>
      <c r="G416" s="97">
        <v>0</v>
      </c>
    </row>
    <row r="417" spans="1:7" ht="30" x14ac:dyDescent="0.25">
      <c r="A417" s="29" t="s">
        <v>480</v>
      </c>
      <c r="B417" s="31">
        <v>2</v>
      </c>
      <c r="C417" s="31">
        <v>2</v>
      </c>
      <c r="D417" s="31">
        <v>0</v>
      </c>
      <c r="E417" s="27">
        <v>0</v>
      </c>
      <c r="F417" s="31">
        <v>3</v>
      </c>
      <c r="G417" s="98">
        <v>0</v>
      </c>
    </row>
    <row r="418" spans="1:7" ht="30" x14ac:dyDescent="0.25">
      <c r="A418" s="25" t="s">
        <v>481</v>
      </c>
      <c r="B418" s="32">
        <v>2</v>
      </c>
      <c r="C418" s="32">
        <v>2</v>
      </c>
      <c r="D418" s="32">
        <v>2</v>
      </c>
      <c r="E418" s="27">
        <v>4</v>
      </c>
      <c r="F418" s="32">
        <v>1</v>
      </c>
      <c r="G418" s="97">
        <v>0</v>
      </c>
    </row>
    <row r="419" spans="1:7" ht="30" x14ac:dyDescent="0.25">
      <c r="A419" s="29" t="s">
        <v>482</v>
      </c>
      <c r="B419" s="31">
        <v>2</v>
      </c>
      <c r="C419" s="31">
        <v>2</v>
      </c>
      <c r="D419" s="31">
        <v>1</v>
      </c>
      <c r="E419" s="27">
        <v>14</v>
      </c>
      <c r="F419" s="31">
        <v>5</v>
      </c>
      <c r="G419" s="98">
        <v>0</v>
      </c>
    </row>
    <row r="420" spans="1:7" ht="30" x14ac:dyDescent="0.25">
      <c r="A420" s="25" t="s">
        <v>483</v>
      </c>
      <c r="B420" s="32">
        <v>2</v>
      </c>
      <c r="C420" s="32">
        <v>1</v>
      </c>
      <c r="D420" s="32">
        <v>0</v>
      </c>
      <c r="E420" s="27">
        <v>3</v>
      </c>
      <c r="F420" s="32">
        <v>0</v>
      </c>
      <c r="G420" s="97">
        <v>0</v>
      </c>
    </row>
    <row r="421" spans="1:7" ht="30" x14ac:dyDescent="0.25">
      <c r="A421" s="29" t="s">
        <v>484</v>
      </c>
      <c r="B421" s="31">
        <v>2</v>
      </c>
      <c r="C421" s="31">
        <v>2</v>
      </c>
      <c r="D421" s="31">
        <v>0</v>
      </c>
      <c r="E421" s="27">
        <v>6</v>
      </c>
      <c r="F421" s="31">
        <v>2</v>
      </c>
      <c r="G421" s="98">
        <v>0</v>
      </c>
    </row>
    <row r="422" spans="1:7" ht="30" x14ac:dyDescent="0.25">
      <c r="A422" s="25" t="s">
        <v>485</v>
      </c>
      <c r="B422" s="32">
        <v>2</v>
      </c>
      <c r="C422" s="32">
        <v>2</v>
      </c>
      <c r="D422" s="32">
        <v>2</v>
      </c>
      <c r="E422" s="27">
        <v>18</v>
      </c>
      <c r="F422" s="32">
        <v>2</v>
      </c>
      <c r="G422" s="97">
        <v>0</v>
      </c>
    </row>
    <row r="423" spans="1:7" ht="30" x14ac:dyDescent="0.25">
      <c r="A423" s="29" t="s">
        <v>486</v>
      </c>
      <c r="B423" s="31">
        <v>2</v>
      </c>
      <c r="C423" s="31">
        <v>2</v>
      </c>
      <c r="D423" s="31">
        <v>1</v>
      </c>
      <c r="E423" s="27">
        <v>0</v>
      </c>
      <c r="F423" s="31">
        <v>0</v>
      </c>
      <c r="G423" s="98">
        <v>0</v>
      </c>
    </row>
    <row r="424" spans="1:7" x14ac:dyDescent="0.25">
      <c r="A424" s="25" t="s">
        <v>487</v>
      </c>
      <c r="B424" s="32">
        <v>2</v>
      </c>
      <c r="C424" s="32">
        <v>2</v>
      </c>
      <c r="D424" s="32">
        <v>0</v>
      </c>
      <c r="E424" s="27">
        <v>2</v>
      </c>
      <c r="F424" s="32">
        <v>2</v>
      </c>
      <c r="G424" s="97">
        <v>0</v>
      </c>
    </row>
    <row r="425" spans="1:7" x14ac:dyDescent="0.25">
      <c r="A425" s="29" t="s">
        <v>488</v>
      </c>
      <c r="B425" s="31">
        <v>2</v>
      </c>
      <c r="C425" s="31">
        <v>2</v>
      </c>
      <c r="D425" s="31">
        <v>1</v>
      </c>
      <c r="E425" s="27">
        <v>6</v>
      </c>
      <c r="F425" s="31">
        <v>2</v>
      </c>
      <c r="G425" s="98">
        <v>0</v>
      </c>
    </row>
    <row r="426" spans="1:7" ht="30" x14ac:dyDescent="0.25">
      <c r="A426" s="25" t="s">
        <v>489</v>
      </c>
      <c r="B426" s="32">
        <v>2</v>
      </c>
      <c r="C426" s="32">
        <v>2</v>
      </c>
      <c r="D426" s="32">
        <v>1</v>
      </c>
      <c r="E426" s="27">
        <v>19</v>
      </c>
      <c r="F426" s="32">
        <v>3</v>
      </c>
      <c r="G426" s="97">
        <v>0</v>
      </c>
    </row>
    <row r="427" spans="1:7" ht="30" x14ac:dyDescent="0.25">
      <c r="A427" s="29" t="s">
        <v>490</v>
      </c>
      <c r="B427" s="31">
        <v>2</v>
      </c>
      <c r="C427" s="31">
        <v>2</v>
      </c>
      <c r="D427" s="31">
        <v>1</v>
      </c>
      <c r="E427" s="27">
        <v>7</v>
      </c>
      <c r="F427" s="31">
        <v>2</v>
      </c>
      <c r="G427" s="98">
        <v>0</v>
      </c>
    </row>
    <row r="428" spans="1:7" ht="30" x14ac:dyDescent="0.25">
      <c r="A428" s="25" t="s">
        <v>491</v>
      </c>
      <c r="B428" s="32">
        <v>2</v>
      </c>
      <c r="C428" s="32">
        <v>2</v>
      </c>
      <c r="D428" s="32">
        <v>2</v>
      </c>
      <c r="E428" s="27">
        <v>1</v>
      </c>
      <c r="F428" s="32">
        <v>2</v>
      </c>
      <c r="G428" s="97">
        <v>0</v>
      </c>
    </row>
    <row r="429" spans="1:7" x14ac:dyDescent="0.25">
      <c r="A429" s="29" t="s">
        <v>492</v>
      </c>
      <c r="B429" s="31">
        <v>2</v>
      </c>
      <c r="C429" s="31">
        <v>2</v>
      </c>
      <c r="D429" s="31">
        <v>2</v>
      </c>
      <c r="E429" s="27">
        <v>0</v>
      </c>
      <c r="F429" s="31">
        <v>0</v>
      </c>
      <c r="G429" s="98">
        <v>0</v>
      </c>
    </row>
    <row r="430" spans="1:7" x14ac:dyDescent="0.25">
      <c r="A430" s="25" t="s">
        <v>493</v>
      </c>
      <c r="B430" s="32">
        <v>2</v>
      </c>
      <c r="C430" s="32">
        <v>2</v>
      </c>
      <c r="D430" s="32">
        <v>2</v>
      </c>
      <c r="E430" s="27">
        <v>9</v>
      </c>
      <c r="F430" s="32">
        <v>0</v>
      </c>
      <c r="G430" s="97">
        <v>0</v>
      </c>
    </row>
    <row r="431" spans="1:7" x14ac:dyDescent="0.25">
      <c r="A431" s="29" t="s">
        <v>494</v>
      </c>
      <c r="B431" s="31">
        <v>2</v>
      </c>
      <c r="C431" s="31">
        <v>2</v>
      </c>
      <c r="D431" s="31">
        <v>0</v>
      </c>
      <c r="E431" s="27">
        <v>131</v>
      </c>
      <c r="F431" s="31">
        <v>1</v>
      </c>
      <c r="G431" s="98">
        <v>0</v>
      </c>
    </row>
    <row r="432" spans="1:7" x14ac:dyDescent="0.25">
      <c r="A432" s="25" t="s">
        <v>495</v>
      </c>
      <c r="B432" s="32">
        <v>2</v>
      </c>
      <c r="C432" s="32">
        <v>2</v>
      </c>
      <c r="D432" s="32">
        <v>0</v>
      </c>
      <c r="E432" s="27">
        <v>0</v>
      </c>
      <c r="F432" s="32">
        <v>0</v>
      </c>
      <c r="G432" s="97">
        <v>0</v>
      </c>
    </row>
    <row r="433" spans="1:7" x14ac:dyDescent="0.25">
      <c r="A433" s="29" t="s">
        <v>496</v>
      </c>
      <c r="B433" s="31">
        <v>2</v>
      </c>
      <c r="C433" s="31">
        <v>2</v>
      </c>
      <c r="D433" s="31">
        <v>1</v>
      </c>
      <c r="E433" s="27">
        <v>10</v>
      </c>
      <c r="F433" s="31">
        <v>0</v>
      </c>
      <c r="G433" s="98">
        <v>0</v>
      </c>
    </row>
    <row r="434" spans="1:7" x14ac:dyDescent="0.25">
      <c r="A434" s="25" t="s">
        <v>497</v>
      </c>
      <c r="B434" s="32">
        <v>1</v>
      </c>
      <c r="C434" s="32">
        <v>1</v>
      </c>
      <c r="D434" s="32">
        <v>0</v>
      </c>
      <c r="E434" s="27">
        <v>33</v>
      </c>
      <c r="F434" s="32">
        <v>0</v>
      </c>
      <c r="G434" s="97">
        <v>0</v>
      </c>
    </row>
    <row r="435" spans="1:7" x14ac:dyDescent="0.25">
      <c r="A435" s="29" t="s">
        <v>498</v>
      </c>
      <c r="B435" s="31">
        <v>1</v>
      </c>
      <c r="C435" s="31">
        <v>1</v>
      </c>
      <c r="D435" s="31">
        <v>1</v>
      </c>
      <c r="E435" s="27">
        <v>0</v>
      </c>
      <c r="F435" s="31">
        <v>0</v>
      </c>
      <c r="G435" s="98">
        <v>0</v>
      </c>
    </row>
    <row r="436" spans="1:7" ht="330" x14ac:dyDescent="0.25">
      <c r="A436" s="25" t="s">
        <v>499</v>
      </c>
      <c r="B436" s="32">
        <v>1</v>
      </c>
      <c r="C436" s="32">
        <v>1</v>
      </c>
      <c r="D436" s="32">
        <v>0</v>
      </c>
      <c r="E436" s="27">
        <v>0</v>
      </c>
      <c r="F436" s="32">
        <v>0</v>
      </c>
      <c r="G436" s="97">
        <v>0</v>
      </c>
    </row>
    <row r="437" spans="1:7" x14ac:dyDescent="0.25">
      <c r="A437" s="29" t="s">
        <v>500</v>
      </c>
      <c r="B437" s="31">
        <v>1</v>
      </c>
      <c r="C437" s="31">
        <v>1</v>
      </c>
      <c r="D437" s="31">
        <v>1</v>
      </c>
      <c r="E437" s="27">
        <v>14</v>
      </c>
      <c r="F437" s="31">
        <v>0</v>
      </c>
      <c r="G437" s="98">
        <v>0</v>
      </c>
    </row>
    <row r="438" spans="1:7" x14ac:dyDescent="0.25">
      <c r="A438" s="25" t="s">
        <v>501</v>
      </c>
      <c r="B438" s="32">
        <v>1</v>
      </c>
      <c r="C438" s="32">
        <v>1</v>
      </c>
      <c r="D438" s="32">
        <v>1</v>
      </c>
      <c r="E438" s="27">
        <v>0</v>
      </c>
      <c r="F438" s="32">
        <v>0</v>
      </c>
      <c r="G438" s="97">
        <v>0</v>
      </c>
    </row>
    <row r="439" spans="1:7" x14ac:dyDescent="0.25">
      <c r="A439" s="29" t="s">
        <v>502</v>
      </c>
      <c r="B439" s="31">
        <v>1</v>
      </c>
      <c r="C439" s="31">
        <v>1</v>
      </c>
      <c r="D439" s="31">
        <v>1</v>
      </c>
      <c r="E439" s="27">
        <v>5</v>
      </c>
      <c r="F439" s="31">
        <v>0</v>
      </c>
      <c r="G439" s="98">
        <v>0</v>
      </c>
    </row>
    <row r="440" spans="1:7" x14ac:dyDescent="0.25">
      <c r="A440" s="25" t="s">
        <v>503</v>
      </c>
      <c r="B440" s="32">
        <v>1</v>
      </c>
      <c r="C440" s="32">
        <v>1</v>
      </c>
      <c r="D440" s="32">
        <v>0</v>
      </c>
      <c r="E440" s="27">
        <v>2</v>
      </c>
      <c r="F440" s="32">
        <v>0</v>
      </c>
      <c r="G440" s="97">
        <v>0</v>
      </c>
    </row>
    <row r="441" spans="1:7" ht="30" x14ac:dyDescent="0.25">
      <c r="A441" s="29" t="s">
        <v>504</v>
      </c>
      <c r="B441" s="31">
        <v>1</v>
      </c>
      <c r="C441" s="31">
        <v>1</v>
      </c>
      <c r="D441" s="31">
        <v>0</v>
      </c>
      <c r="E441" s="27">
        <v>0</v>
      </c>
      <c r="F441" s="31">
        <v>0</v>
      </c>
      <c r="G441" s="98">
        <v>0</v>
      </c>
    </row>
    <row r="442" spans="1:7" x14ac:dyDescent="0.25">
      <c r="A442" s="25" t="s">
        <v>505</v>
      </c>
      <c r="B442" s="32">
        <v>1</v>
      </c>
      <c r="C442" s="32">
        <v>1</v>
      </c>
      <c r="D442" s="32">
        <v>0</v>
      </c>
      <c r="E442" s="27">
        <v>4</v>
      </c>
      <c r="F442" s="32">
        <v>0</v>
      </c>
      <c r="G442" s="97">
        <v>0</v>
      </c>
    </row>
    <row r="443" spans="1:7" x14ac:dyDescent="0.25">
      <c r="A443" s="29" t="s">
        <v>506</v>
      </c>
      <c r="B443" s="31">
        <v>1</v>
      </c>
      <c r="C443" s="31">
        <v>1</v>
      </c>
      <c r="D443" s="31">
        <v>1</v>
      </c>
      <c r="E443" s="27">
        <v>8</v>
      </c>
      <c r="F443" s="31">
        <v>0</v>
      </c>
      <c r="G443" s="98">
        <v>0</v>
      </c>
    </row>
    <row r="444" spans="1:7" x14ac:dyDescent="0.25">
      <c r="A444" s="25" t="s">
        <v>507</v>
      </c>
      <c r="B444" s="32">
        <v>1</v>
      </c>
      <c r="C444" s="32">
        <v>1</v>
      </c>
      <c r="D444" s="32">
        <v>1</v>
      </c>
      <c r="E444" s="27">
        <v>0</v>
      </c>
      <c r="F444" s="32">
        <v>0</v>
      </c>
      <c r="G444" s="97">
        <v>0</v>
      </c>
    </row>
    <row r="445" spans="1:7" x14ac:dyDescent="0.25">
      <c r="A445" s="29" t="s">
        <v>508</v>
      </c>
      <c r="B445" s="31">
        <v>1</v>
      </c>
      <c r="C445" s="31">
        <v>1</v>
      </c>
      <c r="D445" s="31">
        <v>1</v>
      </c>
      <c r="E445" s="27">
        <v>0</v>
      </c>
      <c r="F445" s="31">
        <v>0</v>
      </c>
      <c r="G445" s="98">
        <v>0</v>
      </c>
    </row>
    <row r="446" spans="1:7" x14ac:dyDescent="0.25">
      <c r="A446" s="25" t="s">
        <v>509</v>
      </c>
      <c r="B446" s="32">
        <v>1</v>
      </c>
      <c r="C446" s="32">
        <v>1</v>
      </c>
      <c r="D446" s="32">
        <v>1</v>
      </c>
      <c r="E446" s="27">
        <v>2</v>
      </c>
      <c r="F446" s="32">
        <v>0</v>
      </c>
      <c r="G446" s="97">
        <v>0</v>
      </c>
    </row>
    <row r="447" spans="1:7" ht="30" x14ac:dyDescent="0.25">
      <c r="A447" s="29" t="s">
        <v>510</v>
      </c>
      <c r="B447" s="31">
        <v>1</v>
      </c>
      <c r="C447" s="31">
        <v>1</v>
      </c>
      <c r="D447" s="31">
        <v>1</v>
      </c>
      <c r="E447" s="27">
        <v>2</v>
      </c>
      <c r="F447" s="31">
        <v>0</v>
      </c>
      <c r="G447" s="98">
        <v>0</v>
      </c>
    </row>
    <row r="448" spans="1:7" ht="30" x14ac:dyDescent="0.25">
      <c r="A448" s="25" t="s">
        <v>511</v>
      </c>
      <c r="B448" s="32">
        <v>1</v>
      </c>
      <c r="C448" s="32">
        <v>1</v>
      </c>
      <c r="D448" s="32">
        <v>1</v>
      </c>
      <c r="E448" s="27">
        <v>2</v>
      </c>
      <c r="F448" s="32">
        <v>0</v>
      </c>
      <c r="G448" s="97">
        <v>0</v>
      </c>
    </row>
    <row r="449" spans="1:7" ht="30" x14ac:dyDescent="0.25">
      <c r="A449" s="29" t="s">
        <v>512</v>
      </c>
      <c r="B449" s="31">
        <v>1</v>
      </c>
      <c r="C449" s="31">
        <v>1</v>
      </c>
      <c r="D449" s="31">
        <v>0</v>
      </c>
      <c r="E449" s="27">
        <v>1</v>
      </c>
      <c r="F449" s="31">
        <v>0</v>
      </c>
      <c r="G449" s="98">
        <v>0</v>
      </c>
    </row>
    <row r="450" spans="1:7" x14ac:dyDescent="0.25">
      <c r="A450" s="25" t="s">
        <v>513</v>
      </c>
      <c r="B450" s="32">
        <v>1</v>
      </c>
      <c r="C450" s="32">
        <v>1</v>
      </c>
      <c r="D450" s="32">
        <v>1</v>
      </c>
      <c r="E450" s="27">
        <v>0</v>
      </c>
      <c r="F450" s="32">
        <v>0</v>
      </c>
      <c r="G450" s="97">
        <v>0</v>
      </c>
    </row>
    <row r="451" spans="1:7" ht="30" x14ac:dyDescent="0.25">
      <c r="A451" s="29" t="s">
        <v>514</v>
      </c>
      <c r="B451" s="31">
        <v>1</v>
      </c>
      <c r="C451" s="31">
        <v>1</v>
      </c>
      <c r="D451" s="31">
        <v>0</v>
      </c>
      <c r="E451" s="27">
        <v>1</v>
      </c>
      <c r="F451" s="31">
        <v>1</v>
      </c>
      <c r="G451" s="98">
        <v>0</v>
      </c>
    </row>
    <row r="452" spans="1:7" ht="30" x14ac:dyDescent="0.25">
      <c r="A452" s="25" t="s">
        <v>515</v>
      </c>
      <c r="B452" s="32">
        <v>1</v>
      </c>
      <c r="C452" s="32">
        <v>1</v>
      </c>
      <c r="D452" s="32">
        <v>0</v>
      </c>
      <c r="E452" s="27">
        <v>11</v>
      </c>
      <c r="F452" s="32">
        <v>0</v>
      </c>
      <c r="G452" s="97">
        <v>0</v>
      </c>
    </row>
    <row r="453" spans="1:7" ht="30" x14ac:dyDescent="0.25">
      <c r="A453" s="29" t="s">
        <v>516</v>
      </c>
      <c r="B453" s="31">
        <v>1</v>
      </c>
      <c r="C453" s="31">
        <v>1</v>
      </c>
      <c r="D453" s="31">
        <v>0</v>
      </c>
      <c r="E453" s="27">
        <v>11</v>
      </c>
      <c r="F453" s="31">
        <v>1</v>
      </c>
      <c r="G453" s="98">
        <v>0</v>
      </c>
    </row>
    <row r="454" spans="1:7" x14ac:dyDescent="0.25">
      <c r="A454" s="25" t="s">
        <v>517</v>
      </c>
      <c r="B454" s="32">
        <v>1</v>
      </c>
      <c r="C454" s="32">
        <v>0</v>
      </c>
      <c r="D454" s="32">
        <v>0</v>
      </c>
      <c r="E454" s="27">
        <v>0</v>
      </c>
      <c r="F454" s="32">
        <v>0</v>
      </c>
      <c r="G454" s="97">
        <v>0</v>
      </c>
    </row>
    <row r="455" spans="1:7" x14ac:dyDescent="0.25">
      <c r="A455" s="29" t="s">
        <v>518</v>
      </c>
      <c r="B455" s="31">
        <v>1</v>
      </c>
      <c r="C455" s="31">
        <v>1</v>
      </c>
      <c r="D455" s="31">
        <v>0</v>
      </c>
      <c r="E455" s="27">
        <v>1</v>
      </c>
      <c r="F455" s="31">
        <v>0</v>
      </c>
      <c r="G455" s="98">
        <v>0</v>
      </c>
    </row>
    <row r="456" spans="1:7" ht="30" x14ac:dyDescent="0.25">
      <c r="A456" s="25" t="s">
        <v>519</v>
      </c>
      <c r="B456" s="32">
        <v>1</v>
      </c>
      <c r="C456" s="32">
        <v>1</v>
      </c>
      <c r="D456" s="32">
        <v>1</v>
      </c>
      <c r="E456" s="27">
        <v>0</v>
      </c>
      <c r="F456" s="32">
        <v>0</v>
      </c>
      <c r="G456" s="97">
        <v>0</v>
      </c>
    </row>
    <row r="457" spans="1:7" x14ac:dyDescent="0.25">
      <c r="A457" s="29" t="s">
        <v>520</v>
      </c>
      <c r="B457" s="31">
        <v>1</v>
      </c>
      <c r="C457" s="31">
        <v>1</v>
      </c>
      <c r="D457" s="31">
        <v>1</v>
      </c>
      <c r="E457" s="27">
        <v>0</v>
      </c>
      <c r="F457" s="31">
        <v>0</v>
      </c>
      <c r="G457" s="98">
        <v>0</v>
      </c>
    </row>
    <row r="458" spans="1:7" x14ac:dyDescent="0.25">
      <c r="A458" s="25" t="s">
        <v>521</v>
      </c>
      <c r="B458" s="32">
        <v>1</v>
      </c>
      <c r="C458" s="32">
        <v>1</v>
      </c>
      <c r="D458" s="32">
        <v>1</v>
      </c>
      <c r="E458" s="27">
        <v>0</v>
      </c>
      <c r="F458" s="32">
        <v>0</v>
      </c>
      <c r="G458" s="97">
        <v>0</v>
      </c>
    </row>
    <row r="459" spans="1:7" x14ac:dyDescent="0.25">
      <c r="A459" s="29" t="s">
        <v>522</v>
      </c>
      <c r="B459" s="31">
        <v>1</v>
      </c>
      <c r="C459" s="31">
        <v>1</v>
      </c>
      <c r="D459" s="31">
        <v>1</v>
      </c>
      <c r="E459" s="27">
        <v>7</v>
      </c>
      <c r="F459" s="31">
        <v>0</v>
      </c>
      <c r="G459" s="98">
        <v>0</v>
      </c>
    </row>
    <row r="460" spans="1:7" ht="45" x14ac:dyDescent="0.25">
      <c r="A460" s="25" t="s">
        <v>523</v>
      </c>
      <c r="B460" s="32">
        <v>1</v>
      </c>
      <c r="C460" s="32">
        <v>1</v>
      </c>
      <c r="D460" s="32">
        <v>0</v>
      </c>
      <c r="E460" s="27">
        <v>6</v>
      </c>
      <c r="F460" s="32">
        <v>0</v>
      </c>
      <c r="G460" s="97">
        <v>0</v>
      </c>
    </row>
    <row r="461" spans="1:7" x14ac:dyDescent="0.25">
      <c r="A461" s="29" t="s">
        <v>524</v>
      </c>
      <c r="B461" s="31">
        <v>1</v>
      </c>
      <c r="C461" s="31">
        <v>1</v>
      </c>
      <c r="D461" s="31">
        <v>1</v>
      </c>
      <c r="E461" s="27">
        <v>2</v>
      </c>
      <c r="F461" s="31">
        <v>0</v>
      </c>
      <c r="G461" s="98">
        <v>0</v>
      </c>
    </row>
    <row r="462" spans="1:7" x14ac:dyDescent="0.25">
      <c r="A462" s="25" t="s">
        <v>525</v>
      </c>
      <c r="B462" s="32">
        <v>1</v>
      </c>
      <c r="C462" s="32">
        <v>1</v>
      </c>
      <c r="D462" s="32">
        <v>0</v>
      </c>
      <c r="E462" s="27">
        <v>7</v>
      </c>
      <c r="F462" s="32">
        <v>0</v>
      </c>
      <c r="G462" s="97">
        <v>0</v>
      </c>
    </row>
    <row r="463" spans="1:7" x14ac:dyDescent="0.25">
      <c r="A463" s="29" t="s">
        <v>526</v>
      </c>
      <c r="B463" s="31">
        <v>1</v>
      </c>
      <c r="C463" s="31">
        <v>1</v>
      </c>
      <c r="D463" s="31">
        <v>1</v>
      </c>
      <c r="E463" s="27">
        <v>4</v>
      </c>
      <c r="F463" s="31">
        <v>0</v>
      </c>
      <c r="G463" s="98">
        <v>0</v>
      </c>
    </row>
    <row r="464" spans="1:7" x14ac:dyDescent="0.25">
      <c r="A464" s="25" t="s">
        <v>527</v>
      </c>
      <c r="B464" s="32">
        <v>1</v>
      </c>
      <c r="C464" s="32">
        <v>1</v>
      </c>
      <c r="D464" s="32">
        <v>0</v>
      </c>
      <c r="E464" s="27">
        <v>0</v>
      </c>
      <c r="F464" s="32">
        <v>0</v>
      </c>
      <c r="G464" s="97">
        <v>0</v>
      </c>
    </row>
    <row r="465" spans="1:7" x14ac:dyDescent="0.25">
      <c r="A465" s="29" t="s">
        <v>528</v>
      </c>
      <c r="B465" s="31">
        <v>1</v>
      </c>
      <c r="C465" s="31">
        <v>1</v>
      </c>
      <c r="D465" s="31">
        <v>0</v>
      </c>
      <c r="E465" s="27">
        <v>0</v>
      </c>
      <c r="F465" s="31">
        <v>0</v>
      </c>
      <c r="G465" s="98">
        <v>0</v>
      </c>
    </row>
    <row r="466" spans="1:7" ht="30" x14ac:dyDescent="0.25">
      <c r="A466" s="25" t="s">
        <v>529</v>
      </c>
      <c r="B466" s="32">
        <v>1</v>
      </c>
      <c r="C466" s="32">
        <v>0</v>
      </c>
      <c r="D466" s="32">
        <v>0</v>
      </c>
      <c r="E466" s="27">
        <v>0</v>
      </c>
      <c r="F466" s="32">
        <v>1</v>
      </c>
      <c r="G466" s="97">
        <v>0</v>
      </c>
    </row>
    <row r="467" spans="1:7" ht="30" x14ac:dyDescent="0.25">
      <c r="A467" s="29" t="s">
        <v>530</v>
      </c>
      <c r="B467" s="31">
        <v>1</v>
      </c>
      <c r="C467" s="31">
        <v>1</v>
      </c>
      <c r="D467" s="31">
        <v>0</v>
      </c>
      <c r="E467" s="27">
        <v>3</v>
      </c>
      <c r="F467" s="31">
        <v>1</v>
      </c>
      <c r="G467" s="98">
        <v>0</v>
      </c>
    </row>
    <row r="468" spans="1:7" x14ac:dyDescent="0.25">
      <c r="A468" s="25" t="s">
        <v>531</v>
      </c>
      <c r="B468" s="32">
        <v>1</v>
      </c>
      <c r="C468" s="32">
        <v>1</v>
      </c>
      <c r="D468" s="32">
        <v>1</v>
      </c>
      <c r="E468" s="27">
        <v>0</v>
      </c>
      <c r="F468" s="32">
        <v>0</v>
      </c>
      <c r="G468" s="97">
        <v>0</v>
      </c>
    </row>
    <row r="469" spans="1:7" x14ac:dyDescent="0.25">
      <c r="A469" s="29" t="s">
        <v>532</v>
      </c>
      <c r="B469" s="31">
        <v>1</v>
      </c>
      <c r="C469" s="31">
        <v>1</v>
      </c>
      <c r="D469" s="31">
        <v>0</v>
      </c>
      <c r="E469" s="27">
        <v>4</v>
      </c>
      <c r="F469" s="31">
        <v>0</v>
      </c>
      <c r="G469" s="98">
        <v>0</v>
      </c>
    </row>
    <row r="470" spans="1:7" x14ac:dyDescent="0.25">
      <c r="A470" s="25" t="s">
        <v>533</v>
      </c>
      <c r="B470" s="32">
        <v>1</v>
      </c>
      <c r="C470" s="32">
        <v>1</v>
      </c>
      <c r="D470" s="32">
        <v>0</v>
      </c>
      <c r="E470" s="27">
        <v>0</v>
      </c>
      <c r="F470" s="32">
        <v>0</v>
      </c>
      <c r="G470" s="97">
        <v>0</v>
      </c>
    </row>
    <row r="471" spans="1:7" x14ac:dyDescent="0.25">
      <c r="A471" s="29" t="s">
        <v>534</v>
      </c>
      <c r="B471" s="31">
        <v>1</v>
      </c>
      <c r="C471" s="31">
        <v>1</v>
      </c>
      <c r="D471" s="31">
        <v>0</v>
      </c>
      <c r="E471" s="27">
        <v>0</v>
      </c>
      <c r="F471" s="31">
        <v>0</v>
      </c>
      <c r="G471" s="98">
        <v>0</v>
      </c>
    </row>
    <row r="472" spans="1:7" ht="30" x14ac:dyDescent="0.25">
      <c r="A472" s="25" t="s">
        <v>535</v>
      </c>
      <c r="B472" s="32">
        <v>1</v>
      </c>
      <c r="C472" s="32">
        <v>1</v>
      </c>
      <c r="D472" s="32">
        <v>1</v>
      </c>
      <c r="E472" s="27">
        <v>28</v>
      </c>
      <c r="F472" s="32">
        <v>1</v>
      </c>
      <c r="G472" s="97">
        <v>0</v>
      </c>
    </row>
    <row r="473" spans="1:7" ht="30" x14ac:dyDescent="0.25">
      <c r="A473" s="29" t="s">
        <v>536</v>
      </c>
      <c r="B473" s="31">
        <v>1</v>
      </c>
      <c r="C473" s="31">
        <v>1</v>
      </c>
      <c r="D473" s="31">
        <v>1</v>
      </c>
      <c r="E473" s="27">
        <v>5</v>
      </c>
      <c r="F473" s="31">
        <v>1</v>
      </c>
      <c r="G473" s="98">
        <v>0</v>
      </c>
    </row>
    <row r="474" spans="1:7" ht="30" x14ac:dyDescent="0.25">
      <c r="A474" s="25" t="s">
        <v>537</v>
      </c>
      <c r="B474" s="32">
        <v>1</v>
      </c>
      <c r="C474" s="32">
        <v>1</v>
      </c>
      <c r="D474" s="32">
        <v>0</v>
      </c>
      <c r="E474" s="27">
        <v>4</v>
      </c>
      <c r="F474" s="32">
        <v>1</v>
      </c>
      <c r="G474" s="97">
        <v>0</v>
      </c>
    </row>
    <row r="475" spans="1:7" ht="30" x14ac:dyDescent="0.25">
      <c r="A475" s="29" t="s">
        <v>538</v>
      </c>
      <c r="B475" s="31">
        <v>1</v>
      </c>
      <c r="C475" s="31">
        <v>1</v>
      </c>
      <c r="D475" s="31">
        <v>0</v>
      </c>
      <c r="E475" s="27">
        <v>6</v>
      </c>
      <c r="F475" s="31">
        <v>1</v>
      </c>
      <c r="G475" s="98">
        <v>0</v>
      </c>
    </row>
    <row r="476" spans="1:7" ht="30" x14ac:dyDescent="0.25">
      <c r="A476" s="25" t="s">
        <v>539</v>
      </c>
      <c r="B476" s="32">
        <v>1</v>
      </c>
      <c r="C476" s="32">
        <v>1</v>
      </c>
      <c r="D476" s="32">
        <v>0</v>
      </c>
      <c r="E476" s="27">
        <v>22</v>
      </c>
      <c r="F476" s="32">
        <v>2</v>
      </c>
      <c r="G476" s="97">
        <v>0</v>
      </c>
    </row>
    <row r="477" spans="1:7" ht="30" x14ac:dyDescent="0.25">
      <c r="A477" s="29" t="s">
        <v>540</v>
      </c>
      <c r="B477" s="31">
        <v>1</v>
      </c>
      <c r="C477" s="31">
        <v>1</v>
      </c>
      <c r="D477" s="31">
        <v>1</v>
      </c>
      <c r="E477" s="27">
        <v>0</v>
      </c>
      <c r="F477" s="31">
        <v>1</v>
      </c>
      <c r="G477" s="98">
        <v>0</v>
      </c>
    </row>
    <row r="478" spans="1:7" ht="30" x14ac:dyDescent="0.25">
      <c r="A478" s="25" t="s">
        <v>541</v>
      </c>
      <c r="B478" s="32">
        <v>1</v>
      </c>
      <c r="C478" s="32">
        <v>1</v>
      </c>
      <c r="D478" s="32">
        <v>0</v>
      </c>
      <c r="E478" s="27">
        <v>14</v>
      </c>
      <c r="F478" s="32">
        <v>3</v>
      </c>
      <c r="G478" s="97">
        <v>0</v>
      </c>
    </row>
    <row r="479" spans="1:7" x14ac:dyDescent="0.25">
      <c r="A479" s="29" t="s">
        <v>542</v>
      </c>
      <c r="B479" s="31">
        <v>1</v>
      </c>
      <c r="C479" s="31">
        <v>1</v>
      </c>
      <c r="D479" s="31">
        <v>1</v>
      </c>
      <c r="E479" s="27">
        <v>9</v>
      </c>
      <c r="F479" s="31">
        <v>0</v>
      </c>
      <c r="G479" s="98">
        <v>0</v>
      </c>
    </row>
    <row r="480" spans="1:7" x14ac:dyDescent="0.25">
      <c r="A480" s="25" t="s">
        <v>543</v>
      </c>
      <c r="B480" s="32">
        <v>1</v>
      </c>
      <c r="C480" s="32">
        <v>1</v>
      </c>
      <c r="D480" s="32">
        <v>1</v>
      </c>
      <c r="E480" s="27">
        <v>3</v>
      </c>
      <c r="F480" s="32">
        <v>0</v>
      </c>
      <c r="G480" s="97">
        <v>0</v>
      </c>
    </row>
    <row r="481" spans="1:7" x14ac:dyDescent="0.25">
      <c r="A481" s="29" t="s">
        <v>544</v>
      </c>
      <c r="B481" s="31">
        <v>1</v>
      </c>
      <c r="C481" s="31">
        <v>1</v>
      </c>
      <c r="D481" s="31">
        <v>1</v>
      </c>
      <c r="E481" s="27">
        <v>0</v>
      </c>
      <c r="F481" s="31">
        <v>0</v>
      </c>
      <c r="G481" s="98">
        <v>0</v>
      </c>
    </row>
    <row r="482" spans="1:7" x14ac:dyDescent="0.25">
      <c r="A482" s="25" t="s">
        <v>545</v>
      </c>
      <c r="B482" s="32">
        <v>1</v>
      </c>
      <c r="C482" s="32">
        <v>1</v>
      </c>
      <c r="D482" s="32">
        <v>1</v>
      </c>
      <c r="E482" s="27">
        <v>1</v>
      </c>
      <c r="F482" s="32">
        <v>0</v>
      </c>
      <c r="G482" s="97">
        <v>0</v>
      </c>
    </row>
    <row r="483" spans="1:7" x14ac:dyDescent="0.25">
      <c r="A483" s="29" t="s">
        <v>546</v>
      </c>
      <c r="B483" s="31">
        <v>1</v>
      </c>
      <c r="C483" s="31">
        <v>1</v>
      </c>
      <c r="D483" s="31">
        <v>1</v>
      </c>
      <c r="E483" s="27">
        <v>1</v>
      </c>
      <c r="F483" s="31">
        <v>0</v>
      </c>
      <c r="G483" s="98">
        <v>0</v>
      </c>
    </row>
    <row r="484" spans="1:7" x14ac:dyDescent="0.25">
      <c r="A484" s="25" t="s">
        <v>547</v>
      </c>
      <c r="B484" s="32">
        <v>1</v>
      </c>
      <c r="C484" s="32">
        <v>1</v>
      </c>
      <c r="D484" s="32">
        <v>0</v>
      </c>
      <c r="E484" s="27">
        <v>38</v>
      </c>
      <c r="F484" s="32">
        <v>0</v>
      </c>
      <c r="G484" s="97">
        <v>0</v>
      </c>
    </row>
    <row r="485" spans="1:7" ht="45" x14ac:dyDescent="0.25">
      <c r="A485" s="29" t="s">
        <v>548</v>
      </c>
      <c r="B485" s="31">
        <v>1</v>
      </c>
      <c r="C485" s="31">
        <v>1</v>
      </c>
      <c r="D485" s="31">
        <v>0</v>
      </c>
      <c r="E485" s="27">
        <v>12</v>
      </c>
      <c r="F485" s="31">
        <v>0</v>
      </c>
      <c r="G485" s="98">
        <v>0</v>
      </c>
    </row>
    <row r="486" spans="1:7" x14ac:dyDescent="0.25">
      <c r="A486" s="25" t="s">
        <v>549</v>
      </c>
      <c r="B486" s="32">
        <v>1</v>
      </c>
      <c r="C486" s="32">
        <v>1</v>
      </c>
      <c r="D486" s="32">
        <v>0</v>
      </c>
      <c r="E486" s="27">
        <v>8</v>
      </c>
      <c r="F486" s="32">
        <v>2</v>
      </c>
      <c r="G486" s="97">
        <v>0</v>
      </c>
    </row>
    <row r="487" spans="1:7" ht="30" x14ac:dyDescent="0.25">
      <c r="A487" s="29" t="s">
        <v>550</v>
      </c>
      <c r="B487" s="31">
        <v>1</v>
      </c>
      <c r="C487" s="31">
        <v>1</v>
      </c>
      <c r="D487" s="31">
        <v>1</v>
      </c>
      <c r="E487" s="27">
        <v>4</v>
      </c>
      <c r="F487" s="31">
        <v>0</v>
      </c>
      <c r="G487" s="98">
        <v>0</v>
      </c>
    </row>
    <row r="488" spans="1:7" x14ac:dyDescent="0.25">
      <c r="A488" s="25" t="s">
        <v>551</v>
      </c>
      <c r="B488" s="32">
        <v>1</v>
      </c>
      <c r="C488" s="32">
        <v>1</v>
      </c>
      <c r="D488" s="32">
        <v>0</v>
      </c>
      <c r="E488" s="27">
        <v>49</v>
      </c>
      <c r="F488" s="32">
        <v>0</v>
      </c>
      <c r="G488" s="97">
        <v>0</v>
      </c>
    </row>
    <row r="489" spans="1:7" x14ac:dyDescent="0.25">
      <c r="A489" s="29" t="s">
        <v>552</v>
      </c>
      <c r="B489" s="31">
        <v>1</v>
      </c>
      <c r="C489" s="31">
        <v>1</v>
      </c>
      <c r="D489" s="31">
        <v>1</v>
      </c>
      <c r="E489" s="27">
        <v>1</v>
      </c>
      <c r="F489" s="31">
        <v>0</v>
      </c>
      <c r="G489" s="98">
        <v>0</v>
      </c>
    </row>
    <row r="490" spans="1:7" x14ac:dyDescent="0.25">
      <c r="A490" s="25" t="s">
        <v>553</v>
      </c>
      <c r="B490" s="32">
        <v>1</v>
      </c>
      <c r="C490" s="32">
        <v>1</v>
      </c>
      <c r="D490" s="32">
        <v>0</v>
      </c>
      <c r="E490" s="27">
        <v>0</v>
      </c>
      <c r="F490" s="32">
        <v>0</v>
      </c>
      <c r="G490" s="97">
        <v>0</v>
      </c>
    </row>
    <row r="491" spans="1:7" x14ac:dyDescent="0.25">
      <c r="A491" s="29" t="s">
        <v>554</v>
      </c>
      <c r="B491" s="31">
        <v>1</v>
      </c>
      <c r="C491" s="31">
        <v>1</v>
      </c>
      <c r="D491" s="31">
        <v>1</v>
      </c>
      <c r="E491" s="27">
        <v>2</v>
      </c>
      <c r="F491" s="31">
        <v>0</v>
      </c>
      <c r="G491" s="98">
        <v>0</v>
      </c>
    </row>
    <row r="492" spans="1:7" ht="30" x14ac:dyDescent="0.25">
      <c r="A492" s="25" t="s">
        <v>555</v>
      </c>
      <c r="B492" s="32">
        <v>1</v>
      </c>
      <c r="C492" s="32">
        <v>1</v>
      </c>
      <c r="D492" s="32">
        <v>0</v>
      </c>
      <c r="E492" s="27">
        <v>3</v>
      </c>
      <c r="F492" s="32">
        <v>1</v>
      </c>
      <c r="G492" s="97">
        <v>0</v>
      </c>
    </row>
    <row r="493" spans="1:7" ht="30" x14ac:dyDescent="0.25">
      <c r="A493" s="29" t="s">
        <v>556</v>
      </c>
      <c r="B493" s="31">
        <v>1</v>
      </c>
      <c r="C493" s="31">
        <v>1</v>
      </c>
      <c r="D493" s="31">
        <v>0</v>
      </c>
      <c r="E493" s="27">
        <v>1</v>
      </c>
      <c r="F493" s="31">
        <v>1</v>
      </c>
      <c r="G493" s="98">
        <v>0</v>
      </c>
    </row>
    <row r="494" spans="1:7" ht="30" x14ac:dyDescent="0.25">
      <c r="A494" s="25" t="s">
        <v>557</v>
      </c>
      <c r="B494" s="32">
        <v>1</v>
      </c>
      <c r="C494" s="32">
        <v>1</v>
      </c>
      <c r="D494" s="32">
        <v>0</v>
      </c>
      <c r="E494" s="27">
        <v>106</v>
      </c>
      <c r="F494" s="32">
        <v>25</v>
      </c>
      <c r="G494" s="97">
        <v>0</v>
      </c>
    </row>
    <row r="495" spans="1:7" ht="30" x14ac:dyDescent="0.25">
      <c r="A495" s="29" t="s">
        <v>558</v>
      </c>
      <c r="B495" s="31">
        <v>1</v>
      </c>
      <c r="C495" s="31">
        <v>1</v>
      </c>
      <c r="D495" s="31">
        <v>1</v>
      </c>
      <c r="E495" s="27">
        <v>13</v>
      </c>
      <c r="F495" s="31">
        <v>2</v>
      </c>
      <c r="G495" s="98">
        <v>0</v>
      </c>
    </row>
    <row r="496" spans="1:7" x14ac:dyDescent="0.25">
      <c r="A496" s="25" t="s">
        <v>559</v>
      </c>
      <c r="B496" s="32">
        <v>1</v>
      </c>
      <c r="C496" s="32">
        <v>1</v>
      </c>
      <c r="D496" s="32">
        <v>0</v>
      </c>
      <c r="E496" s="27">
        <v>0</v>
      </c>
      <c r="F496" s="32">
        <v>1</v>
      </c>
      <c r="G496" s="97">
        <v>0</v>
      </c>
    </row>
    <row r="497" spans="1:7" ht="30" x14ac:dyDescent="0.25">
      <c r="A497" s="29" t="s">
        <v>560</v>
      </c>
      <c r="B497" s="31">
        <v>1</v>
      </c>
      <c r="C497" s="31">
        <v>1</v>
      </c>
      <c r="D497" s="31">
        <v>1</v>
      </c>
      <c r="E497" s="27">
        <v>4</v>
      </c>
      <c r="F497" s="31">
        <v>0</v>
      </c>
      <c r="G497" s="98">
        <v>0</v>
      </c>
    </row>
    <row r="498" spans="1:7" ht="30" x14ac:dyDescent="0.25">
      <c r="A498" s="25" t="s">
        <v>561</v>
      </c>
      <c r="B498" s="32">
        <v>1</v>
      </c>
      <c r="C498" s="32">
        <v>1</v>
      </c>
      <c r="D498" s="32">
        <v>0</v>
      </c>
      <c r="E498" s="27">
        <v>6</v>
      </c>
      <c r="F498" s="32">
        <v>2</v>
      </c>
      <c r="G498" s="97">
        <v>0</v>
      </c>
    </row>
    <row r="499" spans="1:7" ht="30" x14ac:dyDescent="0.25">
      <c r="A499" s="29" t="s">
        <v>562</v>
      </c>
      <c r="B499" s="31">
        <v>1</v>
      </c>
      <c r="C499" s="31">
        <v>1</v>
      </c>
      <c r="D499" s="31">
        <v>1</v>
      </c>
      <c r="E499" s="27">
        <v>7</v>
      </c>
      <c r="F499" s="31">
        <v>1</v>
      </c>
      <c r="G499" s="98">
        <v>0</v>
      </c>
    </row>
    <row r="500" spans="1:7" x14ac:dyDescent="0.25">
      <c r="A500" s="25" t="s">
        <v>563</v>
      </c>
      <c r="B500" s="32">
        <v>1</v>
      </c>
      <c r="C500" s="32">
        <v>1</v>
      </c>
      <c r="D500" s="32">
        <v>1</v>
      </c>
      <c r="E500" s="27">
        <v>0</v>
      </c>
      <c r="F500" s="32">
        <v>0</v>
      </c>
      <c r="G500" s="97">
        <v>0</v>
      </c>
    </row>
    <row r="501" spans="1:7" ht="30" x14ac:dyDescent="0.25">
      <c r="A501" s="29" t="s">
        <v>564</v>
      </c>
      <c r="B501" s="31">
        <v>1</v>
      </c>
      <c r="C501" s="31">
        <v>1</v>
      </c>
      <c r="D501" s="31">
        <v>0</v>
      </c>
      <c r="E501" s="27">
        <v>1</v>
      </c>
      <c r="F501" s="33"/>
      <c r="G501" s="99"/>
    </row>
    <row r="502" spans="1:7" ht="30" x14ac:dyDescent="0.25">
      <c r="A502" s="25" t="s">
        <v>565</v>
      </c>
      <c r="B502" s="32">
        <v>1</v>
      </c>
      <c r="C502" s="32">
        <v>1</v>
      </c>
      <c r="D502" s="32">
        <v>1</v>
      </c>
      <c r="E502" s="27">
        <v>0</v>
      </c>
      <c r="F502" s="32">
        <v>1</v>
      </c>
      <c r="G502" s="95">
        <v>0</v>
      </c>
    </row>
    <row r="503" spans="1:7" ht="30" x14ac:dyDescent="0.25">
      <c r="A503" s="29" t="s">
        <v>566</v>
      </c>
      <c r="B503" s="31">
        <v>1</v>
      </c>
      <c r="C503" s="31">
        <v>1</v>
      </c>
      <c r="D503" s="31">
        <v>0</v>
      </c>
      <c r="E503" s="27">
        <v>1</v>
      </c>
      <c r="F503" s="31">
        <v>1</v>
      </c>
      <c r="G503" s="95">
        <v>0</v>
      </c>
    </row>
    <row r="504" spans="1:7" x14ac:dyDescent="0.25">
      <c r="A504" s="25" t="s">
        <v>567</v>
      </c>
      <c r="B504" s="32">
        <v>1</v>
      </c>
      <c r="C504" s="32">
        <v>1</v>
      </c>
      <c r="D504" s="32">
        <v>0</v>
      </c>
      <c r="E504" s="27">
        <v>6</v>
      </c>
      <c r="F504" s="32">
        <v>0</v>
      </c>
      <c r="G504" s="95">
        <v>0</v>
      </c>
    </row>
    <row r="505" spans="1:7" x14ac:dyDescent="0.25">
      <c r="A505" s="29" t="s">
        <v>568</v>
      </c>
      <c r="B505" s="31">
        <v>1</v>
      </c>
      <c r="C505" s="31">
        <v>1</v>
      </c>
      <c r="D505" s="31">
        <v>0</v>
      </c>
      <c r="E505" s="27">
        <v>278</v>
      </c>
      <c r="F505" s="31">
        <v>0</v>
      </c>
      <c r="G505" s="95">
        <v>0</v>
      </c>
    </row>
    <row r="506" spans="1:7" ht="30" x14ac:dyDescent="0.25">
      <c r="A506" s="25" t="s">
        <v>569</v>
      </c>
      <c r="B506" s="32">
        <v>1</v>
      </c>
      <c r="C506" s="32">
        <v>1</v>
      </c>
      <c r="D506" s="32">
        <v>1</v>
      </c>
      <c r="E506" s="27">
        <v>7</v>
      </c>
      <c r="F506" s="32">
        <v>0</v>
      </c>
      <c r="G506" s="95">
        <v>0</v>
      </c>
    </row>
    <row r="507" spans="1:7" ht="30" x14ac:dyDescent="0.25">
      <c r="A507" s="29" t="s">
        <v>570</v>
      </c>
      <c r="B507" s="31">
        <v>1</v>
      </c>
      <c r="C507" s="31">
        <v>0</v>
      </c>
      <c r="D507" s="31">
        <v>0</v>
      </c>
      <c r="E507" s="27">
        <v>0</v>
      </c>
      <c r="F507" s="31">
        <v>1</v>
      </c>
      <c r="G507" s="95">
        <v>0</v>
      </c>
    </row>
    <row r="508" spans="1:7" ht="30" x14ac:dyDescent="0.25">
      <c r="A508" s="25" t="s">
        <v>571</v>
      </c>
      <c r="B508" s="32">
        <v>1</v>
      </c>
      <c r="C508" s="32">
        <v>1</v>
      </c>
      <c r="D508" s="32">
        <v>0</v>
      </c>
      <c r="E508" s="27">
        <v>1</v>
      </c>
      <c r="F508" s="32">
        <v>0</v>
      </c>
      <c r="G508" s="95">
        <v>0</v>
      </c>
    </row>
    <row r="509" spans="1:7" ht="30" x14ac:dyDescent="0.25">
      <c r="A509" s="29" t="s">
        <v>572</v>
      </c>
      <c r="B509" s="31">
        <v>1</v>
      </c>
      <c r="C509" s="31">
        <v>1</v>
      </c>
      <c r="D509" s="31">
        <v>1</v>
      </c>
      <c r="E509" s="27">
        <v>4</v>
      </c>
      <c r="F509" s="31">
        <v>0</v>
      </c>
      <c r="G509" s="95">
        <v>0</v>
      </c>
    </row>
    <row r="510" spans="1:7" ht="30" x14ac:dyDescent="0.25">
      <c r="A510" s="25" t="s">
        <v>573</v>
      </c>
      <c r="B510" s="32">
        <v>1</v>
      </c>
      <c r="C510" s="32">
        <v>1</v>
      </c>
      <c r="D510" s="32">
        <v>0</v>
      </c>
      <c r="E510" s="27">
        <v>1</v>
      </c>
      <c r="F510" s="32">
        <v>1</v>
      </c>
      <c r="G510" s="95">
        <v>0</v>
      </c>
    </row>
    <row r="511" spans="1:7" ht="30" x14ac:dyDescent="0.25">
      <c r="A511" s="29" t="s">
        <v>574</v>
      </c>
      <c r="B511" s="31">
        <v>1</v>
      </c>
      <c r="C511" s="31">
        <v>1</v>
      </c>
      <c r="D511" s="31">
        <v>0</v>
      </c>
      <c r="E511" s="27">
        <v>55</v>
      </c>
      <c r="F511" s="31">
        <v>4</v>
      </c>
      <c r="G511" s="95">
        <v>0</v>
      </c>
    </row>
    <row r="512" spans="1:7" ht="30" x14ac:dyDescent="0.25">
      <c r="A512" s="25" t="s">
        <v>575</v>
      </c>
      <c r="B512" s="32">
        <v>1</v>
      </c>
      <c r="C512" s="32">
        <v>1</v>
      </c>
      <c r="D512" s="32">
        <v>1</v>
      </c>
      <c r="E512" s="27">
        <v>4</v>
      </c>
      <c r="F512" s="32">
        <v>2</v>
      </c>
      <c r="G512" s="95">
        <v>0</v>
      </c>
    </row>
    <row r="513" spans="1:7" ht="30" x14ac:dyDescent="0.25">
      <c r="A513" s="29" t="s">
        <v>576</v>
      </c>
      <c r="B513" s="31">
        <v>1</v>
      </c>
      <c r="C513" s="31">
        <v>1</v>
      </c>
      <c r="D513" s="31">
        <v>1</v>
      </c>
      <c r="E513" s="27">
        <v>24</v>
      </c>
      <c r="F513" s="31">
        <v>1</v>
      </c>
      <c r="G513" s="95">
        <v>0</v>
      </c>
    </row>
    <row r="514" spans="1:7" ht="30" x14ac:dyDescent="0.25">
      <c r="A514" s="25" t="s">
        <v>577</v>
      </c>
      <c r="B514" s="32">
        <v>1</v>
      </c>
      <c r="C514" s="32">
        <v>1</v>
      </c>
      <c r="D514" s="32">
        <v>0</v>
      </c>
      <c r="E514" s="27">
        <v>2</v>
      </c>
      <c r="F514" s="32">
        <v>0</v>
      </c>
      <c r="G514" s="95">
        <v>0</v>
      </c>
    </row>
    <row r="515" spans="1:7" ht="30" x14ac:dyDescent="0.25">
      <c r="A515" s="29" t="s">
        <v>578</v>
      </c>
      <c r="B515" s="31">
        <v>1</v>
      </c>
      <c r="C515" s="31">
        <v>1</v>
      </c>
      <c r="D515" s="31">
        <v>1</v>
      </c>
      <c r="E515" s="27">
        <v>0</v>
      </c>
      <c r="F515" s="31">
        <v>0</v>
      </c>
      <c r="G515" s="95">
        <v>0</v>
      </c>
    </row>
    <row r="516" spans="1:7" ht="30" x14ac:dyDescent="0.25">
      <c r="A516" s="25" t="s">
        <v>579</v>
      </c>
      <c r="B516" s="32">
        <v>1</v>
      </c>
      <c r="C516" s="32">
        <v>1</v>
      </c>
      <c r="D516" s="32">
        <v>0</v>
      </c>
      <c r="E516" s="27">
        <v>46</v>
      </c>
      <c r="F516" s="32">
        <v>1</v>
      </c>
      <c r="G516" s="95">
        <v>0</v>
      </c>
    </row>
    <row r="517" spans="1:7" ht="30" x14ac:dyDescent="0.25">
      <c r="A517" s="29" t="s">
        <v>580</v>
      </c>
      <c r="B517" s="31">
        <v>1</v>
      </c>
      <c r="C517" s="31">
        <v>1</v>
      </c>
      <c r="D517" s="31">
        <v>0</v>
      </c>
      <c r="E517" s="27">
        <v>2</v>
      </c>
      <c r="F517" s="31">
        <v>1</v>
      </c>
      <c r="G517" s="95">
        <v>0</v>
      </c>
    </row>
    <row r="518" spans="1:7" ht="30" x14ac:dyDescent="0.25">
      <c r="A518" s="25" t="s">
        <v>581</v>
      </c>
      <c r="B518" s="32">
        <v>1</v>
      </c>
      <c r="C518" s="32">
        <v>1</v>
      </c>
      <c r="D518" s="32">
        <v>0</v>
      </c>
      <c r="E518" s="27">
        <v>21</v>
      </c>
      <c r="F518" s="32">
        <v>2</v>
      </c>
      <c r="G518" s="95">
        <v>0</v>
      </c>
    </row>
    <row r="519" spans="1:7" ht="30" x14ac:dyDescent="0.25">
      <c r="A519" s="29" t="s">
        <v>582</v>
      </c>
      <c r="B519" s="31">
        <v>1</v>
      </c>
      <c r="C519" s="31">
        <v>1</v>
      </c>
      <c r="D519" s="31">
        <v>0</v>
      </c>
      <c r="E519" s="27">
        <v>1</v>
      </c>
      <c r="F519" s="31">
        <v>0</v>
      </c>
      <c r="G519" s="95">
        <v>0</v>
      </c>
    </row>
    <row r="520" spans="1:7" ht="30" x14ac:dyDescent="0.25">
      <c r="A520" s="25" t="s">
        <v>583</v>
      </c>
      <c r="B520" s="32">
        <v>1</v>
      </c>
      <c r="C520" s="32">
        <v>1</v>
      </c>
      <c r="D520" s="32">
        <v>1</v>
      </c>
      <c r="E520" s="27">
        <v>36</v>
      </c>
      <c r="F520" s="32">
        <v>5</v>
      </c>
      <c r="G520" s="95">
        <v>0</v>
      </c>
    </row>
    <row r="521" spans="1:7" ht="30" x14ac:dyDescent="0.25">
      <c r="A521" s="29" t="s">
        <v>584</v>
      </c>
      <c r="B521" s="31">
        <v>1</v>
      </c>
      <c r="C521" s="31">
        <v>1</v>
      </c>
      <c r="D521" s="31">
        <v>1</v>
      </c>
      <c r="E521" s="27">
        <v>1</v>
      </c>
      <c r="F521" s="31">
        <v>1</v>
      </c>
      <c r="G521" s="95">
        <v>0</v>
      </c>
    </row>
    <row r="522" spans="1:7" ht="30" x14ac:dyDescent="0.25">
      <c r="A522" s="25" t="s">
        <v>585</v>
      </c>
      <c r="B522" s="32">
        <v>1</v>
      </c>
      <c r="C522" s="32">
        <v>1</v>
      </c>
      <c r="D522" s="32">
        <v>1</v>
      </c>
      <c r="E522" s="27">
        <v>27</v>
      </c>
      <c r="F522" s="32">
        <v>1</v>
      </c>
      <c r="G522" s="95">
        <v>0</v>
      </c>
    </row>
    <row r="523" spans="1:7" ht="30" x14ac:dyDescent="0.25">
      <c r="A523" s="29" t="s">
        <v>586</v>
      </c>
      <c r="B523" s="31">
        <v>1</v>
      </c>
      <c r="C523" s="31">
        <v>1</v>
      </c>
      <c r="D523" s="31">
        <v>0</v>
      </c>
      <c r="E523" s="27">
        <v>21</v>
      </c>
      <c r="F523" s="31">
        <v>1</v>
      </c>
      <c r="G523" s="95">
        <v>0</v>
      </c>
    </row>
    <row r="524" spans="1:7" ht="30" x14ac:dyDescent="0.25">
      <c r="A524" s="25" t="s">
        <v>587</v>
      </c>
      <c r="B524" s="32">
        <v>1</v>
      </c>
      <c r="C524" s="32">
        <v>1</v>
      </c>
      <c r="D524" s="32">
        <v>0</v>
      </c>
      <c r="E524" s="27">
        <v>1</v>
      </c>
      <c r="F524" s="32">
        <v>1</v>
      </c>
      <c r="G524" s="95">
        <v>0</v>
      </c>
    </row>
    <row r="525" spans="1:7" ht="30" x14ac:dyDescent="0.25">
      <c r="A525" s="29" t="s">
        <v>588</v>
      </c>
      <c r="B525" s="31">
        <v>1</v>
      </c>
      <c r="C525" s="31">
        <v>1</v>
      </c>
      <c r="D525" s="31">
        <v>1</v>
      </c>
      <c r="E525" s="27">
        <v>5</v>
      </c>
      <c r="F525" s="31">
        <v>1</v>
      </c>
      <c r="G525" s="95">
        <v>0</v>
      </c>
    </row>
    <row r="526" spans="1:7" ht="30" x14ac:dyDescent="0.25">
      <c r="A526" s="25" t="s">
        <v>589</v>
      </c>
      <c r="B526" s="32">
        <v>1</v>
      </c>
      <c r="C526" s="32">
        <v>1</v>
      </c>
      <c r="D526" s="32">
        <v>0</v>
      </c>
      <c r="E526" s="27">
        <v>181</v>
      </c>
      <c r="F526" s="32">
        <v>25</v>
      </c>
      <c r="G526" s="95">
        <v>0</v>
      </c>
    </row>
    <row r="527" spans="1:7" ht="30" x14ac:dyDescent="0.25">
      <c r="A527" s="29" t="s">
        <v>590</v>
      </c>
      <c r="B527" s="31">
        <v>1</v>
      </c>
      <c r="C527" s="31">
        <v>1</v>
      </c>
      <c r="D527" s="31">
        <v>1</v>
      </c>
      <c r="E527" s="27">
        <v>0</v>
      </c>
      <c r="F527" s="31">
        <v>1</v>
      </c>
      <c r="G527" s="95">
        <v>0</v>
      </c>
    </row>
    <row r="528" spans="1:7" ht="30" x14ac:dyDescent="0.25">
      <c r="A528" s="25" t="s">
        <v>591</v>
      </c>
      <c r="B528" s="32">
        <v>1</v>
      </c>
      <c r="C528" s="32">
        <v>1</v>
      </c>
      <c r="D528" s="32">
        <v>0</v>
      </c>
      <c r="E528" s="27">
        <v>4</v>
      </c>
      <c r="F528" s="32">
        <v>1</v>
      </c>
      <c r="G528" s="95">
        <v>0</v>
      </c>
    </row>
    <row r="529" spans="1:7" ht="30" x14ac:dyDescent="0.25">
      <c r="A529" s="29" t="s">
        <v>592</v>
      </c>
      <c r="B529" s="31">
        <v>1</v>
      </c>
      <c r="C529" s="31">
        <v>1</v>
      </c>
      <c r="D529" s="31">
        <v>0</v>
      </c>
      <c r="E529" s="27">
        <v>4</v>
      </c>
      <c r="F529" s="31">
        <v>2</v>
      </c>
      <c r="G529" s="95">
        <v>0</v>
      </c>
    </row>
    <row r="530" spans="1:7" ht="30" x14ac:dyDescent="0.25">
      <c r="A530" s="25" t="s">
        <v>593</v>
      </c>
      <c r="B530" s="32">
        <v>1</v>
      </c>
      <c r="C530" s="32">
        <v>1</v>
      </c>
      <c r="D530" s="32">
        <v>0</v>
      </c>
      <c r="E530" s="27">
        <v>14</v>
      </c>
      <c r="F530" s="32">
        <v>2</v>
      </c>
      <c r="G530" s="95">
        <v>0</v>
      </c>
    </row>
    <row r="531" spans="1:7" ht="30" x14ac:dyDescent="0.25">
      <c r="A531" s="29" t="s">
        <v>594</v>
      </c>
      <c r="B531" s="31">
        <v>1</v>
      </c>
      <c r="C531" s="31">
        <v>1</v>
      </c>
      <c r="D531" s="31">
        <v>0</v>
      </c>
      <c r="E531" s="27">
        <v>1</v>
      </c>
      <c r="F531" s="31">
        <v>1</v>
      </c>
      <c r="G531" s="95">
        <v>0</v>
      </c>
    </row>
    <row r="532" spans="1:7" ht="30" x14ac:dyDescent="0.25">
      <c r="A532" s="25" t="s">
        <v>595</v>
      </c>
      <c r="B532" s="32">
        <v>1</v>
      </c>
      <c r="C532" s="32">
        <v>1</v>
      </c>
      <c r="D532" s="32">
        <v>1</v>
      </c>
      <c r="E532" s="27">
        <v>4</v>
      </c>
      <c r="F532" s="32">
        <v>1</v>
      </c>
      <c r="G532" s="95">
        <v>0</v>
      </c>
    </row>
    <row r="533" spans="1:7" ht="30" x14ac:dyDescent="0.25">
      <c r="A533" s="29" t="s">
        <v>596</v>
      </c>
      <c r="B533" s="31">
        <v>1</v>
      </c>
      <c r="C533" s="31">
        <v>0</v>
      </c>
      <c r="D533" s="31">
        <v>0</v>
      </c>
      <c r="E533" s="27">
        <v>0</v>
      </c>
      <c r="F533" s="31">
        <v>1</v>
      </c>
      <c r="G533" s="95">
        <v>0</v>
      </c>
    </row>
    <row r="534" spans="1:7" ht="30" x14ac:dyDescent="0.25">
      <c r="A534" s="25" t="s">
        <v>597</v>
      </c>
      <c r="B534" s="32">
        <v>1</v>
      </c>
      <c r="C534" s="32">
        <v>1</v>
      </c>
      <c r="D534" s="32">
        <v>0</v>
      </c>
      <c r="E534" s="27">
        <v>68</v>
      </c>
      <c r="F534" s="32">
        <v>0</v>
      </c>
      <c r="G534" s="95">
        <v>0</v>
      </c>
    </row>
    <row r="535" spans="1:7" ht="30" x14ac:dyDescent="0.25">
      <c r="A535" s="29" t="s">
        <v>598</v>
      </c>
      <c r="B535" s="31">
        <v>1</v>
      </c>
      <c r="C535" s="31">
        <v>1</v>
      </c>
      <c r="D535" s="31">
        <v>0</v>
      </c>
      <c r="E535" s="27">
        <v>10</v>
      </c>
      <c r="F535" s="31">
        <v>0</v>
      </c>
      <c r="G535" s="95">
        <v>0</v>
      </c>
    </row>
    <row r="536" spans="1:7" ht="30" x14ac:dyDescent="0.25">
      <c r="A536" s="25" t="s">
        <v>599</v>
      </c>
      <c r="B536" s="32">
        <v>1</v>
      </c>
      <c r="C536" s="32">
        <v>1</v>
      </c>
      <c r="D536" s="32">
        <v>0</v>
      </c>
      <c r="E536" s="27">
        <v>14</v>
      </c>
      <c r="F536" s="32">
        <v>1</v>
      </c>
      <c r="G536" s="95">
        <v>0</v>
      </c>
    </row>
    <row r="537" spans="1:7" ht="30" x14ac:dyDescent="0.25">
      <c r="A537" s="29" t="s">
        <v>600</v>
      </c>
      <c r="B537" s="31">
        <v>1</v>
      </c>
      <c r="C537" s="31">
        <v>1</v>
      </c>
      <c r="D537" s="31">
        <v>1</v>
      </c>
      <c r="E537" s="27">
        <v>23</v>
      </c>
      <c r="F537" s="31">
        <v>2</v>
      </c>
      <c r="G537" s="95">
        <v>0</v>
      </c>
    </row>
    <row r="538" spans="1:7" ht="30" x14ac:dyDescent="0.25">
      <c r="A538" s="25" t="s">
        <v>601</v>
      </c>
      <c r="B538" s="32">
        <v>1</v>
      </c>
      <c r="C538" s="32">
        <v>1</v>
      </c>
      <c r="D538" s="32">
        <v>1</v>
      </c>
      <c r="E538" s="27">
        <v>2</v>
      </c>
      <c r="F538" s="32">
        <v>2</v>
      </c>
      <c r="G538" s="95">
        <v>0</v>
      </c>
    </row>
    <row r="539" spans="1:7" ht="30" x14ac:dyDescent="0.25">
      <c r="A539" s="29" t="s">
        <v>602</v>
      </c>
      <c r="B539" s="31">
        <v>1</v>
      </c>
      <c r="C539" s="31">
        <v>1</v>
      </c>
      <c r="D539" s="31">
        <v>0</v>
      </c>
      <c r="E539" s="27">
        <v>42</v>
      </c>
      <c r="F539" s="31">
        <v>3</v>
      </c>
      <c r="G539" s="95">
        <v>0</v>
      </c>
    </row>
    <row r="540" spans="1:7" ht="30" x14ac:dyDescent="0.25">
      <c r="A540" s="25" t="s">
        <v>603</v>
      </c>
      <c r="B540" s="32">
        <v>1</v>
      </c>
      <c r="C540" s="32">
        <v>1</v>
      </c>
      <c r="D540" s="32">
        <v>1</v>
      </c>
      <c r="E540" s="27">
        <v>0</v>
      </c>
      <c r="F540" s="32">
        <v>0</v>
      </c>
      <c r="G540" s="95">
        <v>0</v>
      </c>
    </row>
    <row r="541" spans="1:7" ht="30" x14ac:dyDescent="0.25">
      <c r="A541" s="29" t="s">
        <v>604</v>
      </c>
      <c r="B541" s="31">
        <v>1</v>
      </c>
      <c r="C541" s="31">
        <v>1</v>
      </c>
      <c r="D541" s="31">
        <v>0</v>
      </c>
      <c r="E541" s="27">
        <v>2</v>
      </c>
      <c r="F541" s="31">
        <v>1</v>
      </c>
      <c r="G541" s="95">
        <v>0</v>
      </c>
    </row>
    <row r="542" spans="1:7" ht="30" x14ac:dyDescent="0.25">
      <c r="A542" s="25" t="s">
        <v>605</v>
      </c>
      <c r="B542" s="32">
        <v>1</v>
      </c>
      <c r="C542" s="32">
        <v>1</v>
      </c>
      <c r="D542" s="32">
        <v>0</v>
      </c>
      <c r="E542" s="27">
        <v>0</v>
      </c>
      <c r="F542" s="32">
        <v>1</v>
      </c>
      <c r="G542" s="95">
        <v>0</v>
      </c>
    </row>
    <row r="543" spans="1:7" ht="30" x14ac:dyDescent="0.25">
      <c r="A543" s="29" t="s">
        <v>606</v>
      </c>
      <c r="B543" s="31">
        <v>1</v>
      </c>
      <c r="C543" s="31">
        <v>1</v>
      </c>
      <c r="D543" s="31">
        <v>1</v>
      </c>
      <c r="E543" s="27">
        <v>6</v>
      </c>
      <c r="F543" s="31">
        <v>0</v>
      </c>
      <c r="G543" s="95">
        <v>0</v>
      </c>
    </row>
    <row r="544" spans="1:7" ht="30" x14ac:dyDescent="0.25">
      <c r="A544" s="25" t="s">
        <v>607</v>
      </c>
      <c r="B544" s="32">
        <v>1</v>
      </c>
      <c r="C544" s="32">
        <v>1</v>
      </c>
      <c r="D544" s="32">
        <v>0</v>
      </c>
      <c r="E544" s="27">
        <v>2</v>
      </c>
      <c r="F544" s="32">
        <v>2</v>
      </c>
      <c r="G544" s="95">
        <v>0</v>
      </c>
    </row>
    <row r="545" spans="1:7" ht="30" x14ac:dyDescent="0.25">
      <c r="A545" s="29" t="s">
        <v>608</v>
      </c>
      <c r="B545" s="31">
        <v>1</v>
      </c>
      <c r="C545" s="31">
        <v>1</v>
      </c>
      <c r="D545" s="31">
        <v>0</v>
      </c>
      <c r="E545" s="27">
        <v>69</v>
      </c>
      <c r="F545" s="31">
        <v>4</v>
      </c>
      <c r="G545" s="95">
        <v>0</v>
      </c>
    </row>
    <row r="546" spans="1:7" ht="30" x14ac:dyDescent="0.25">
      <c r="A546" s="25" t="s">
        <v>609</v>
      </c>
      <c r="B546" s="32">
        <v>1</v>
      </c>
      <c r="C546" s="32">
        <v>0</v>
      </c>
      <c r="D546" s="32">
        <v>0</v>
      </c>
      <c r="E546" s="27">
        <v>0</v>
      </c>
      <c r="F546" s="32">
        <v>1</v>
      </c>
      <c r="G546" s="95">
        <v>0</v>
      </c>
    </row>
    <row r="547" spans="1:7" ht="30" x14ac:dyDescent="0.25">
      <c r="A547" s="29" t="s">
        <v>610</v>
      </c>
      <c r="B547" s="31">
        <v>1</v>
      </c>
      <c r="C547" s="31">
        <v>1</v>
      </c>
      <c r="D547" s="31">
        <v>0</v>
      </c>
      <c r="E547" s="27">
        <v>0</v>
      </c>
      <c r="F547" s="31">
        <v>0</v>
      </c>
      <c r="G547" s="95">
        <v>0</v>
      </c>
    </row>
    <row r="548" spans="1:7" x14ac:dyDescent="0.25">
      <c r="A548" s="25" t="s">
        <v>611</v>
      </c>
      <c r="B548" s="32">
        <v>1</v>
      </c>
      <c r="C548" s="32">
        <v>1</v>
      </c>
      <c r="D548" s="32">
        <v>1</v>
      </c>
      <c r="E548" s="27">
        <v>13</v>
      </c>
      <c r="F548" s="32">
        <v>2</v>
      </c>
      <c r="G548" s="95">
        <v>0</v>
      </c>
    </row>
    <row r="549" spans="1:7" ht="30" x14ac:dyDescent="0.25">
      <c r="A549" s="29" t="s">
        <v>612</v>
      </c>
      <c r="B549" s="31">
        <v>1</v>
      </c>
      <c r="C549" s="31">
        <v>1</v>
      </c>
      <c r="D549" s="31">
        <v>0</v>
      </c>
      <c r="E549" s="27">
        <v>0</v>
      </c>
      <c r="F549" s="31">
        <v>1</v>
      </c>
      <c r="G549" s="95">
        <v>0</v>
      </c>
    </row>
    <row r="550" spans="1:7" ht="30" x14ac:dyDescent="0.25">
      <c r="A550" s="25" t="s">
        <v>613</v>
      </c>
      <c r="B550" s="32">
        <v>1</v>
      </c>
      <c r="C550" s="32">
        <v>1</v>
      </c>
      <c r="D550" s="32">
        <v>0</v>
      </c>
      <c r="E550" s="27">
        <v>3</v>
      </c>
      <c r="F550" s="32">
        <v>1</v>
      </c>
      <c r="G550" s="95">
        <v>0</v>
      </c>
    </row>
    <row r="551" spans="1:7" x14ac:dyDescent="0.25">
      <c r="A551" s="29" t="s">
        <v>614</v>
      </c>
      <c r="B551" s="31">
        <v>1</v>
      </c>
      <c r="C551" s="31">
        <v>1</v>
      </c>
      <c r="D551" s="31">
        <v>1</v>
      </c>
      <c r="E551" s="27">
        <v>5</v>
      </c>
      <c r="F551" s="31">
        <v>0</v>
      </c>
      <c r="G551" s="95">
        <v>0</v>
      </c>
    </row>
    <row r="552" spans="1:7" x14ac:dyDescent="0.25">
      <c r="A552" s="25" t="s">
        <v>615</v>
      </c>
      <c r="B552" s="32">
        <v>1</v>
      </c>
      <c r="C552" s="32">
        <v>1</v>
      </c>
      <c r="D552" s="32">
        <v>0</v>
      </c>
      <c r="E552" s="27">
        <v>13</v>
      </c>
      <c r="F552" s="32">
        <v>0</v>
      </c>
      <c r="G552" s="95">
        <v>0</v>
      </c>
    </row>
    <row r="553" spans="1:7" ht="30" x14ac:dyDescent="0.25">
      <c r="A553" s="29" t="s">
        <v>616</v>
      </c>
      <c r="B553" s="31">
        <v>1</v>
      </c>
      <c r="C553" s="31">
        <v>1</v>
      </c>
      <c r="D553" s="31">
        <v>0</v>
      </c>
      <c r="E553" s="27">
        <v>0</v>
      </c>
      <c r="F553" s="31">
        <v>0</v>
      </c>
      <c r="G553" s="95">
        <v>0</v>
      </c>
    </row>
    <row r="554" spans="1:7" ht="30" x14ac:dyDescent="0.25">
      <c r="A554" s="25" t="s">
        <v>617</v>
      </c>
      <c r="B554" s="32">
        <v>1</v>
      </c>
      <c r="C554" s="32">
        <v>1</v>
      </c>
      <c r="D554" s="32">
        <v>1</v>
      </c>
      <c r="E554" s="27">
        <v>0</v>
      </c>
      <c r="F554" s="32">
        <v>0</v>
      </c>
      <c r="G554" s="95">
        <v>0</v>
      </c>
    </row>
    <row r="555" spans="1:7" x14ac:dyDescent="0.25">
      <c r="A555" s="29" t="s">
        <v>618</v>
      </c>
      <c r="B555" s="31">
        <v>1</v>
      </c>
      <c r="C555" s="31">
        <v>1</v>
      </c>
      <c r="D555" s="31">
        <v>1</v>
      </c>
      <c r="E555" s="27">
        <v>58</v>
      </c>
      <c r="F555" s="31">
        <v>0</v>
      </c>
      <c r="G555" s="95">
        <v>0</v>
      </c>
    </row>
    <row r="556" spans="1:7" x14ac:dyDescent="0.25">
      <c r="A556" s="25" t="s">
        <v>619</v>
      </c>
      <c r="B556" s="32">
        <v>1</v>
      </c>
      <c r="C556" s="32">
        <v>1</v>
      </c>
      <c r="D556" s="32">
        <v>1</v>
      </c>
      <c r="E556" s="27">
        <v>147</v>
      </c>
      <c r="F556" s="32">
        <v>0</v>
      </c>
      <c r="G556" s="95">
        <v>0</v>
      </c>
    </row>
    <row r="557" spans="1:7" x14ac:dyDescent="0.25">
      <c r="A557" s="29" t="s">
        <v>620</v>
      </c>
      <c r="B557" s="31">
        <v>1</v>
      </c>
      <c r="C557" s="31">
        <v>1</v>
      </c>
      <c r="D557" s="31">
        <v>1</v>
      </c>
      <c r="E557" s="27">
        <v>14</v>
      </c>
      <c r="F557" s="31">
        <v>0</v>
      </c>
      <c r="G557" s="95">
        <v>0</v>
      </c>
    </row>
    <row r="558" spans="1:7" x14ac:dyDescent="0.25">
      <c r="A558" s="25" t="s">
        <v>621</v>
      </c>
      <c r="B558" s="32">
        <v>1</v>
      </c>
      <c r="C558" s="32">
        <v>1</v>
      </c>
      <c r="D558" s="32">
        <v>0</v>
      </c>
      <c r="E558" s="27">
        <v>0</v>
      </c>
      <c r="F558" s="32">
        <v>0</v>
      </c>
      <c r="G558" s="95">
        <v>0</v>
      </c>
    </row>
    <row r="559" spans="1:7" x14ac:dyDescent="0.25">
      <c r="A559" s="29" t="s">
        <v>622</v>
      </c>
      <c r="B559" s="31">
        <v>1</v>
      </c>
      <c r="C559" s="31">
        <v>1</v>
      </c>
      <c r="D559" s="31">
        <v>0</v>
      </c>
      <c r="E559" s="27">
        <v>2</v>
      </c>
      <c r="F559" s="31">
        <v>0</v>
      </c>
      <c r="G559" s="95">
        <v>0</v>
      </c>
    </row>
    <row r="560" spans="1:7" x14ac:dyDescent="0.25">
      <c r="A560" s="25" t="s">
        <v>623</v>
      </c>
      <c r="B560" s="32">
        <v>1</v>
      </c>
      <c r="C560" s="32">
        <v>1</v>
      </c>
      <c r="D560" s="32">
        <v>0</v>
      </c>
      <c r="E560" s="27">
        <v>0</v>
      </c>
      <c r="F560" s="32">
        <v>0</v>
      </c>
      <c r="G560" s="95">
        <v>0</v>
      </c>
    </row>
    <row r="561" spans="1:7" ht="30" x14ac:dyDescent="0.25">
      <c r="A561" s="29" t="s">
        <v>624</v>
      </c>
      <c r="B561" s="31">
        <v>1</v>
      </c>
      <c r="C561" s="31">
        <v>1</v>
      </c>
      <c r="D561" s="31">
        <v>0</v>
      </c>
      <c r="E561" s="27">
        <v>40</v>
      </c>
      <c r="F561" s="31">
        <v>0</v>
      </c>
      <c r="G561" s="95">
        <v>0</v>
      </c>
    </row>
    <row r="562" spans="1:7" ht="30" x14ac:dyDescent="0.25">
      <c r="A562" s="25" t="s">
        <v>625</v>
      </c>
      <c r="B562" s="32">
        <v>1</v>
      </c>
      <c r="C562" s="32">
        <v>1</v>
      </c>
      <c r="D562" s="32">
        <v>1</v>
      </c>
      <c r="E562" s="27">
        <v>2</v>
      </c>
      <c r="F562" s="32">
        <v>0</v>
      </c>
      <c r="G562" s="95">
        <v>0</v>
      </c>
    </row>
    <row r="563" spans="1:7" x14ac:dyDescent="0.25">
      <c r="A563" s="29" t="s">
        <v>626</v>
      </c>
      <c r="B563" s="31">
        <v>1</v>
      </c>
      <c r="C563" s="31">
        <v>1</v>
      </c>
      <c r="D563" s="31">
        <v>1</v>
      </c>
      <c r="E563" s="27">
        <v>33</v>
      </c>
      <c r="F563" s="31">
        <v>0</v>
      </c>
      <c r="G563" s="95">
        <v>0</v>
      </c>
    </row>
    <row r="564" spans="1:7" x14ac:dyDescent="0.25">
      <c r="A564" s="25" t="s">
        <v>627</v>
      </c>
      <c r="B564" s="32">
        <v>1</v>
      </c>
      <c r="C564" s="32">
        <v>1</v>
      </c>
      <c r="D564" s="32">
        <v>0</v>
      </c>
      <c r="E564" s="27">
        <v>0</v>
      </c>
      <c r="F564" s="32">
        <v>0</v>
      </c>
      <c r="G564" s="95">
        <v>0</v>
      </c>
    </row>
    <row r="565" spans="1:7" x14ac:dyDescent="0.25">
      <c r="A565" s="29" t="s">
        <v>628</v>
      </c>
      <c r="B565" s="31">
        <v>1</v>
      </c>
      <c r="C565" s="31">
        <v>1</v>
      </c>
      <c r="D565" s="31">
        <v>0</v>
      </c>
      <c r="E565" s="27">
        <v>18</v>
      </c>
      <c r="F565" s="31">
        <v>0</v>
      </c>
      <c r="G565" s="95">
        <v>0</v>
      </c>
    </row>
    <row r="566" spans="1:7" x14ac:dyDescent="0.25">
      <c r="A566" s="25" t="s">
        <v>629</v>
      </c>
      <c r="B566" s="32">
        <v>1</v>
      </c>
      <c r="C566" s="32">
        <v>1</v>
      </c>
      <c r="D566" s="32">
        <v>1</v>
      </c>
      <c r="E566" s="27">
        <v>3</v>
      </c>
      <c r="F566" s="32">
        <v>0</v>
      </c>
      <c r="G566" s="95">
        <v>0</v>
      </c>
    </row>
    <row r="567" spans="1:7" x14ac:dyDescent="0.25">
      <c r="A567" s="29" t="s">
        <v>630</v>
      </c>
      <c r="B567" s="31">
        <v>1</v>
      </c>
      <c r="C567" s="31">
        <v>1</v>
      </c>
      <c r="D567" s="31">
        <v>0</v>
      </c>
      <c r="E567" s="27">
        <v>70</v>
      </c>
      <c r="F567" s="31">
        <v>0</v>
      </c>
      <c r="G567" s="96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B818-DDE0-4693-B609-3CAC41F1B9A4}">
  <dimension ref="A1:G11"/>
  <sheetViews>
    <sheetView workbookViewId="0">
      <selection activeCell="B10" sqref="B10"/>
    </sheetView>
  </sheetViews>
  <sheetFormatPr defaultRowHeight="15" x14ac:dyDescent="0.25"/>
  <cols>
    <col min="1" max="1" width="24.5703125" customWidth="1"/>
    <col min="3" max="3" width="11.42578125" customWidth="1"/>
    <col min="4" max="4" width="9.5703125" customWidth="1"/>
    <col min="5" max="5" width="17" customWidth="1"/>
    <col min="6" max="6" width="28.140625" customWidth="1"/>
    <col min="7" max="7" width="14.140625" customWidth="1"/>
  </cols>
  <sheetData>
    <row r="1" spans="1:7" ht="28.5" customHeight="1" x14ac:dyDescent="0.25">
      <c r="A1" s="101" t="s">
        <v>631</v>
      </c>
      <c r="B1" s="101" t="s">
        <v>27</v>
      </c>
      <c r="C1" s="101" t="s">
        <v>14</v>
      </c>
      <c r="D1" s="101" t="s">
        <v>28</v>
      </c>
      <c r="E1" s="45" t="s">
        <v>632</v>
      </c>
      <c r="F1" s="45" t="s">
        <v>633</v>
      </c>
      <c r="G1" s="93" t="s">
        <v>6</v>
      </c>
    </row>
    <row r="2" spans="1:7" x14ac:dyDescent="0.25">
      <c r="A2" s="17" t="s">
        <v>634</v>
      </c>
      <c r="B2" s="18">
        <v>60409</v>
      </c>
      <c r="C2" s="18">
        <v>56665</v>
      </c>
      <c r="D2" s="18">
        <v>93312</v>
      </c>
      <c r="E2" s="20">
        <v>1.24</v>
      </c>
      <c r="F2" s="19">
        <v>109</v>
      </c>
      <c r="G2" s="91">
        <v>5069.8100000000004</v>
      </c>
    </row>
    <row r="3" spans="1:7" x14ac:dyDescent="0.25">
      <c r="A3" s="17" t="s">
        <v>635</v>
      </c>
      <c r="B3" s="18">
        <v>60409</v>
      </c>
      <c r="C3" s="18">
        <v>56665</v>
      </c>
      <c r="D3" s="18">
        <v>93312</v>
      </c>
      <c r="E3" s="20">
        <v>1.24</v>
      </c>
      <c r="F3" s="19">
        <v>109</v>
      </c>
      <c r="G3" s="91">
        <v>0</v>
      </c>
    </row>
    <row r="4" spans="1:7" x14ac:dyDescent="0.25">
      <c r="A4" s="17" t="s">
        <v>636</v>
      </c>
      <c r="B4" s="18">
        <v>18257</v>
      </c>
      <c r="C4" s="18">
        <v>15512</v>
      </c>
      <c r="D4" s="18">
        <v>29342</v>
      </c>
      <c r="E4" s="20">
        <v>1.4</v>
      </c>
      <c r="F4" s="19">
        <v>190</v>
      </c>
      <c r="G4" s="91">
        <v>5045.62</v>
      </c>
    </row>
    <row r="5" spans="1:7" x14ac:dyDescent="0.25">
      <c r="A5" s="17" t="s">
        <v>637</v>
      </c>
      <c r="B5" s="18">
        <v>2758</v>
      </c>
      <c r="C5" s="20">
        <v>20</v>
      </c>
      <c r="D5" s="18">
        <v>8587</v>
      </c>
      <c r="E5" s="20">
        <v>1.32</v>
      </c>
      <c r="F5" s="19">
        <v>162</v>
      </c>
      <c r="G5" s="91">
        <v>3056.09</v>
      </c>
    </row>
    <row r="6" spans="1:7" x14ac:dyDescent="0.25">
      <c r="A6" s="17" t="s">
        <v>638</v>
      </c>
      <c r="B6" s="18">
        <v>2600</v>
      </c>
      <c r="C6" s="18">
        <v>1087</v>
      </c>
      <c r="D6" s="18">
        <v>9428</v>
      </c>
      <c r="E6" s="20">
        <v>2.66</v>
      </c>
      <c r="F6" s="19">
        <v>276</v>
      </c>
      <c r="G6" s="91">
        <v>4844.0600000000004</v>
      </c>
    </row>
    <row r="7" spans="1:7" x14ac:dyDescent="0.25">
      <c r="A7" s="17" t="s">
        <v>639</v>
      </c>
      <c r="B7" s="18">
        <v>1437</v>
      </c>
      <c r="C7" s="20">
        <v>17</v>
      </c>
      <c r="D7" s="18">
        <v>4067</v>
      </c>
      <c r="E7" s="20">
        <v>1.43</v>
      </c>
      <c r="F7" s="19">
        <v>183</v>
      </c>
      <c r="G7" s="91">
        <v>0</v>
      </c>
    </row>
    <row r="8" spans="1:7" x14ac:dyDescent="0.25">
      <c r="A8" s="17" t="s">
        <v>640</v>
      </c>
      <c r="B8" s="18">
        <v>1437</v>
      </c>
      <c r="C8" s="20">
        <v>17</v>
      </c>
      <c r="D8" s="18">
        <v>4067</v>
      </c>
      <c r="E8" s="20">
        <v>1.43</v>
      </c>
      <c r="F8" s="19">
        <v>183</v>
      </c>
      <c r="G8" s="91">
        <v>0</v>
      </c>
    </row>
    <row r="9" spans="1:7" x14ac:dyDescent="0.25">
      <c r="A9" s="17" t="s">
        <v>641</v>
      </c>
      <c r="B9" s="20">
        <v>928</v>
      </c>
      <c r="C9" s="20">
        <v>802</v>
      </c>
      <c r="D9" s="18">
        <v>1391</v>
      </c>
      <c r="E9" s="20">
        <v>1.25</v>
      </c>
      <c r="F9" s="19">
        <v>99</v>
      </c>
      <c r="G9" s="91">
        <v>105.58</v>
      </c>
    </row>
    <row r="10" spans="1:7" x14ac:dyDescent="0.25">
      <c r="A10" s="17" t="s">
        <v>642</v>
      </c>
      <c r="B10" s="20">
        <v>746</v>
      </c>
      <c r="C10" s="20">
        <v>0</v>
      </c>
      <c r="D10" s="18">
        <v>1271</v>
      </c>
      <c r="E10" s="20">
        <v>1.96</v>
      </c>
      <c r="F10" s="19">
        <v>226</v>
      </c>
      <c r="G10" s="91">
        <v>0</v>
      </c>
    </row>
    <row r="11" spans="1:7" x14ac:dyDescent="0.25">
      <c r="A11" s="48" t="s">
        <v>643</v>
      </c>
      <c r="B11" s="83">
        <v>21</v>
      </c>
      <c r="C11" s="83">
        <v>0</v>
      </c>
      <c r="D11" s="83">
        <v>27</v>
      </c>
      <c r="E11" s="83">
        <v>2.0699999999999998</v>
      </c>
      <c r="F11" s="84">
        <v>253</v>
      </c>
      <c r="G11" s="94">
        <v>5069.8100000000004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C315-7416-464D-B7C4-A10ECC2B53AB}">
  <dimension ref="A1:K159"/>
  <sheetViews>
    <sheetView tabSelected="1" topLeftCell="F1" workbookViewId="0">
      <selection activeCell="A67" sqref="A67"/>
    </sheetView>
  </sheetViews>
  <sheetFormatPr defaultRowHeight="15" x14ac:dyDescent="0.25"/>
  <cols>
    <col min="1" max="1" width="11" customWidth="1"/>
    <col min="3" max="3" width="11.42578125" customWidth="1"/>
    <col min="4" max="4" width="16.28515625" customWidth="1"/>
    <col min="5" max="5" width="16.5703125" customWidth="1"/>
    <col min="6" max="6" width="23.28515625" customWidth="1"/>
    <col min="7" max="7" width="29.42578125" customWidth="1"/>
    <col min="8" max="8" width="15.5703125" customWidth="1"/>
    <col min="9" max="9" width="12.28515625" customWidth="1"/>
    <col min="10" max="10" width="14" customWidth="1"/>
    <col min="11" max="11" width="44.85546875" customWidth="1"/>
  </cols>
  <sheetData>
    <row r="1" spans="1:11" ht="59.25" customHeight="1" x14ac:dyDescent="0.25">
      <c r="A1" s="150" t="s">
        <v>949</v>
      </c>
      <c r="B1" s="144" t="s">
        <v>27</v>
      </c>
      <c r="C1" s="144" t="s">
        <v>14</v>
      </c>
      <c r="D1" s="145" t="s">
        <v>15</v>
      </c>
      <c r="E1" s="146" t="s">
        <v>16</v>
      </c>
      <c r="F1" s="145" t="s">
        <v>0</v>
      </c>
      <c r="G1" s="147" t="s">
        <v>644</v>
      </c>
      <c r="H1" s="144" t="s">
        <v>4</v>
      </c>
      <c r="I1" s="144" t="s">
        <v>31</v>
      </c>
      <c r="J1" s="148" t="s">
        <v>6</v>
      </c>
      <c r="K1" s="149" t="s">
        <v>645</v>
      </c>
    </row>
    <row r="2" spans="1:11" x14ac:dyDescent="0.25">
      <c r="A2" s="102" t="s">
        <v>794</v>
      </c>
      <c r="B2" s="18">
        <v>37862</v>
      </c>
      <c r="C2" s="18">
        <v>34906</v>
      </c>
      <c r="D2" s="18">
        <v>24347</v>
      </c>
      <c r="E2" s="21">
        <v>0.42630000000000001</v>
      </c>
      <c r="F2" s="20">
        <v>0.64</v>
      </c>
      <c r="G2" s="19">
        <v>12</v>
      </c>
      <c r="H2" s="18">
        <v>368300</v>
      </c>
      <c r="I2" s="22">
        <v>10455</v>
      </c>
      <c r="J2" s="23">
        <v>1671.95</v>
      </c>
      <c r="K2" s="44">
        <f>IF(D2=0, 0, I2/D2)</f>
        <v>0.42941635519776566</v>
      </c>
    </row>
    <row r="3" spans="1:11" x14ac:dyDescent="0.25">
      <c r="A3" s="102" t="s">
        <v>795</v>
      </c>
      <c r="B3" s="18">
        <v>6256</v>
      </c>
      <c r="C3" s="18">
        <v>5965</v>
      </c>
      <c r="D3" s="18">
        <v>3483</v>
      </c>
      <c r="E3" s="21">
        <v>0.31469999999999998</v>
      </c>
      <c r="F3" s="20">
        <v>0.56000000000000005</v>
      </c>
      <c r="G3" s="19">
        <v>7</v>
      </c>
      <c r="H3" s="18">
        <v>58994</v>
      </c>
      <c r="I3" s="20">
        <v>708</v>
      </c>
      <c r="J3" s="23">
        <v>0</v>
      </c>
      <c r="K3" s="44">
        <f t="shared" ref="K3:K66" si="0">IF(D3=0, 0, I3/D3)</f>
        <v>0.20327304048234282</v>
      </c>
    </row>
    <row r="4" spans="1:11" x14ac:dyDescent="0.25">
      <c r="A4" s="102" t="s">
        <v>796</v>
      </c>
      <c r="B4" s="18">
        <v>2880</v>
      </c>
      <c r="C4" s="18">
        <v>2778</v>
      </c>
      <c r="D4" s="18">
        <v>2129</v>
      </c>
      <c r="E4" s="21">
        <v>0.56030000000000002</v>
      </c>
      <c r="F4" s="20">
        <v>0.74</v>
      </c>
      <c r="G4" s="19">
        <v>15</v>
      </c>
      <c r="H4" s="18">
        <v>26734</v>
      </c>
      <c r="I4" s="20">
        <v>522</v>
      </c>
      <c r="J4" s="23">
        <v>0</v>
      </c>
      <c r="K4" s="44">
        <f t="shared" si="0"/>
        <v>0.2451855331141381</v>
      </c>
    </row>
    <row r="5" spans="1:11" x14ac:dyDescent="0.25">
      <c r="A5" s="102" t="s">
        <v>797</v>
      </c>
      <c r="B5" s="18">
        <v>1402</v>
      </c>
      <c r="C5" s="18">
        <v>1381</v>
      </c>
      <c r="D5" s="20">
        <v>535</v>
      </c>
      <c r="E5" s="21">
        <v>0.36570000000000003</v>
      </c>
      <c r="F5" s="20">
        <v>0.38</v>
      </c>
      <c r="G5" s="19">
        <v>6</v>
      </c>
      <c r="H5" s="18">
        <v>7462</v>
      </c>
      <c r="I5" s="20">
        <v>23</v>
      </c>
      <c r="J5" s="23">
        <v>0</v>
      </c>
      <c r="K5" s="44">
        <f t="shared" si="0"/>
        <v>4.2990654205607479E-2</v>
      </c>
    </row>
    <row r="6" spans="1:11" x14ac:dyDescent="0.25">
      <c r="A6" s="102" t="s">
        <v>798</v>
      </c>
      <c r="B6" s="18">
        <v>1269</v>
      </c>
      <c r="C6" s="18">
        <v>1205</v>
      </c>
      <c r="D6" s="18">
        <v>1123</v>
      </c>
      <c r="E6" s="21">
        <v>0.59109999999999996</v>
      </c>
      <c r="F6" s="20">
        <v>0.88</v>
      </c>
      <c r="G6" s="19">
        <v>18</v>
      </c>
      <c r="H6" s="18">
        <v>14239</v>
      </c>
      <c r="I6" s="20">
        <v>861</v>
      </c>
      <c r="J6" s="23">
        <v>0</v>
      </c>
      <c r="K6" s="44">
        <f t="shared" si="0"/>
        <v>0.7666963490650045</v>
      </c>
    </row>
    <row r="7" spans="1:11" x14ac:dyDescent="0.25">
      <c r="A7" s="102" t="s">
        <v>799</v>
      </c>
      <c r="B7" s="18">
        <v>1164</v>
      </c>
      <c r="C7" s="18">
        <v>1105</v>
      </c>
      <c r="D7" s="20">
        <v>786</v>
      </c>
      <c r="E7" s="21">
        <v>0.49130000000000001</v>
      </c>
      <c r="F7" s="20">
        <v>0.68</v>
      </c>
      <c r="G7" s="19">
        <v>15</v>
      </c>
      <c r="H7" s="18">
        <v>11446</v>
      </c>
      <c r="I7" s="20">
        <v>282</v>
      </c>
      <c r="J7" s="23">
        <v>0</v>
      </c>
      <c r="K7" s="44">
        <f t="shared" si="0"/>
        <v>0.35877862595419846</v>
      </c>
    </row>
    <row r="8" spans="1:11" x14ac:dyDescent="0.25">
      <c r="A8" s="102" t="s">
        <v>800</v>
      </c>
      <c r="B8" s="20">
        <v>803</v>
      </c>
      <c r="C8" s="20">
        <v>731</v>
      </c>
      <c r="D8" s="20">
        <v>603</v>
      </c>
      <c r="E8" s="21">
        <v>0.4763</v>
      </c>
      <c r="F8" s="20">
        <v>0.75</v>
      </c>
      <c r="G8" s="19">
        <v>19</v>
      </c>
      <c r="H8" s="18">
        <v>8591</v>
      </c>
      <c r="I8" s="20">
        <v>201</v>
      </c>
      <c r="J8" s="23">
        <v>0</v>
      </c>
      <c r="K8" s="44">
        <f t="shared" si="0"/>
        <v>0.33333333333333331</v>
      </c>
    </row>
    <row r="9" spans="1:11" x14ac:dyDescent="0.25">
      <c r="A9" s="102" t="s">
        <v>801</v>
      </c>
      <c r="B9" s="20">
        <v>772</v>
      </c>
      <c r="C9" s="20">
        <v>714</v>
      </c>
      <c r="D9" s="20">
        <v>202</v>
      </c>
      <c r="E9" s="21">
        <v>0.20530000000000001</v>
      </c>
      <c r="F9" s="20">
        <v>0.26</v>
      </c>
      <c r="G9" s="19">
        <v>1</v>
      </c>
      <c r="H9" s="18">
        <v>4742</v>
      </c>
      <c r="I9" s="20">
        <v>0</v>
      </c>
      <c r="J9" s="23">
        <v>0</v>
      </c>
      <c r="K9" s="44">
        <f t="shared" si="0"/>
        <v>0</v>
      </c>
    </row>
    <row r="10" spans="1:11" x14ac:dyDescent="0.25">
      <c r="A10" s="102" t="s">
        <v>802</v>
      </c>
      <c r="B10" s="20">
        <v>646</v>
      </c>
      <c r="C10" s="20">
        <v>608</v>
      </c>
      <c r="D10" s="20">
        <v>405</v>
      </c>
      <c r="E10" s="21">
        <v>0.48159999999999997</v>
      </c>
      <c r="F10" s="20">
        <v>0.63</v>
      </c>
      <c r="G10" s="19">
        <v>23</v>
      </c>
      <c r="H10" s="18">
        <v>5997</v>
      </c>
      <c r="I10" s="20">
        <v>194</v>
      </c>
      <c r="J10" s="23">
        <v>0</v>
      </c>
      <c r="K10" s="44">
        <f t="shared" si="0"/>
        <v>0.47901234567901235</v>
      </c>
    </row>
    <row r="11" spans="1:11" x14ac:dyDescent="0.25">
      <c r="A11" s="102" t="s">
        <v>803</v>
      </c>
      <c r="B11" s="20">
        <v>538</v>
      </c>
      <c r="C11" s="20">
        <v>517</v>
      </c>
      <c r="D11" s="20">
        <v>406</v>
      </c>
      <c r="E11" s="21">
        <v>0.51790000000000003</v>
      </c>
      <c r="F11" s="20">
        <v>0.75</v>
      </c>
      <c r="G11" s="19">
        <v>16</v>
      </c>
      <c r="H11" s="18">
        <v>5453</v>
      </c>
      <c r="I11" s="20">
        <v>117</v>
      </c>
      <c r="J11" s="23">
        <v>0</v>
      </c>
      <c r="K11" s="44">
        <f t="shared" si="0"/>
        <v>0.28817733990147781</v>
      </c>
    </row>
    <row r="12" spans="1:11" x14ac:dyDescent="0.25">
      <c r="A12" s="102" t="s">
        <v>650</v>
      </c>
      <c r="B12" s="20">
        <v>464</v>
      </c>
      <c r="C12" s="20">
        <v>462</v>
      </c>
      <c r="D12" s="20">
        <v>113</v>
      </c>
      <c r="E12" s="21">
        <v>0.2384</v>
      </c>
      <c r="F12" s="20">
        <v>0.24</v>
      </c>
      <c r="G12" s="19">
        <v>1</v>
      </c>
      <c r="H12" s="18">
        <v>2272</v>
      </c>
      <c r="I12" s="20">
        <v>92</v>
      </c>
      <c r="J12" s="23">
        <v>0</v>
      </c>
      <c r="K12" s="44">
        <f t="shared" si="0"/>
        <v>0.81415929203539827</v>
      </c>
    </row>
    <row r="13" spans="1:11" x14ac:dyDescent="0.25">
      <c r="A13" s="102" t="s">
        <v>804</v>
      </c>
      <c r="B13" s="20">
        <v>461</v>
      </c>
      <c r="C13" s="20">
        <v>438</v>
      </c>
      <c r="D13" s="20">
        <v>402</v>
      </c>
      <c r="E13" s="21">
        <v>0.58940000000000003</v>
      </c>
      <c r="F13" s="20">
        <v>0.87</v>
      </c>
      <c r="G13" s="19">
        <v>18</v>
      </c>
      <c r="H13" s="18">
        <v>4619</v>
      </c>
      <c r="I13" s="20">
        <v>189</v>
      </c>
      <c r="J13" s="23">
        <v>0</v>
      </c>
      <c r="K13" s="44">
        <f t="shared" si="0"/>
        <v>0.47014925373134331</v>
      </c>
    </row>
    <row r="14" spans="1:11" x14ac:dyDescent="0.25">
      <c r="A14" s="102" t="s">
        <v>805</v>
      </c>
      <c r="B14" s="20">
        <v>396</v>
      </c>
      <c r="C14" s="20">
        <v>366</v>
      </c>
      <c r="D14" s="20">
        <v>278</v>
      </c>
      <c r="E14" s="21">
        <v>0.50270000000000004</v>
      </c>
      <c r="F14" s="20">
        <v>0.7</v>
      </c>
      <c r="G14" s="19">
        <v>24</v>
      </c>
      <c r="H14" s="18">
        <v>3820</v>
      </c>
      <c r="I14" s="20">
        <v>98</v>
      </c>
      <c r="J14" s="23">
        <v>0</v>
      </c>
      <c r="K14" s="44">
        <f t="shared" si="0"/>
        <v>0.35251798561151076</v>
      </c>
    </row>
    <row r="15" spans="1:11" x14ac:dyDescent="0.25">
      <c r="A15" s="102" t="s">
        <v>806</v>
      </c>
      <c r="B15" s="20">
        <v>385</v>
      </c>
      <c r="C15" s="20">
        <v>373</v>
      </c>
      <c r="D15" s="20">
        <v>316</v>
      </c>
      <c r="E15" s="21">
        <v>0.54479999999999995</v>
      </c>
      <c r="F15" s="20">
        <v>0.82</v>
      </c>
      <c r="G15" s="19">
        <v>34</v>
      </c>
      <c r="H15" s="18">
        <v>4045</v>
      </c>
      <c r="I15" s="20">
        <v>42</v>
      </c>
      <c r="J15" s="23">
        <v>0</v>
      </c>
      <c r="K15" s="44">
        <f t="shared" si="0"/>
        <v>0.13291139240506328</v>
      </c>
    </row>
    <row r="16" spans="1:11" x14ac:dyDescent="0.25">
      <c r="A16" s="102" t="s">
        <v>807</v>
      </c>
      <c r="B16" s="20">
        <v>379</v>
      </c>
      <c r="C16" s="20">
        <v>369</v>
      </c>
      <c r="D16" s="20">
        <v>274</v>
      </c>
      <c r="E16" s="21">
        <v>0.47899999999999998</v>
      </c>
      <c r="F16" s="20">
        <v>0.72</v>
      </c>
      <c r="G16" s="19">
        <v>17</v>
      </c>
      <c r="H16" s="18">
        <v>4041</v>
      </c>
      <c r="I16" s="20">
        <v>44</v>
      </c>
      <c r="J16" s="23">
        <v>0</v>
      </c>
      <c r="K16" s="44">
        <f t="shared" si="0"/>
        <v>0.16058394160583941</v>
      </c>
    </row>
    <row r="17" spans="1:11" x14ac:dyDescent="0.25">
      <c r="A17" s="102" t="s">
        <v>808</v>
      </c>
      <c r="B17" s="20">
        <v>374</v>
      </c>
      <c r="C17" s="20">
        <v>365</v>
      </c>
      <c r="D17" s="20">
        <v>270</v>
      </c>
      <c r="E17" s="21">
        <v>0.49180000000000001</v>
      </c>
      <c r="F17" s="20">
        <v>0.72</v>
      </c>
      <c r="G17" s="19">
        <v>19</v>
      </c>
      <c r="H17" s="18">
        <v>3652</v>
      </c>
      <c r="I17" s="20">
        <v>52</v>
      </c>
      <c r="J17" s="23">
        <v>0</v>
      </c>
      <c r="K17" s="44">
        <f t="shared" si="0"/>
        <v>0.19259259259259259</v>
      </c>
    </row>
    <row r="18" spans="1:11" x14ac:dyDescent="0.25">
      <c r="A18" s="102" t="s">
        <v>809</v>
      </c>
      <c r="B18" s="20">
        <v>337</v>
      </c>
      <c r="C18" s="20">
        <v>326</v>
      </c>
      <c r="D18" s="20">
        <v>227</v>
      </c>
      <c r="E18" s="21">
        <v>0.47389999999999999</v>
      </c>
      <c r="F18" s="20">
        <v>0.67</v>
      </c>
      <c r="G18" s="19">
        <v>21</v>
      </c>
      <c r="H18" s="18">
        <v>3332</v>
      </c>
      <c r="I18" s="20">
        <v>58</v>
      </c>
      <c r="J18" s="23">
        <v>0</v>
      </c>
      <c r="K18" s="44">
        <f t="shared" si="0"/>
        <v>0.25550660792951541</v>
      </c>
    </row>
    <row r="19" spans="1:11" x14ac:dyDescent="0.25">
      <c r="A19" s="102" t="s">
        <v>810</v>
      </c>
      <c r="B19" s="20">
        <v>305</v>
      </c>
      <c r="C19" s="20">
        <v>291</v>
      </c>
      <c r="D19" s="20">
        <v>180</v>
      </c>
      <c r="E19" s="21">
        <v>0.45229999999999998</v>
      </c>
      <c r="F19" s="20">
        <v>0.59</v>
      </c>
      <c r="G19" s="19">
        <v>10</v>
      </c>
      <c r="H19" s="18">
        <v>2504</v>
      </c>
      <c r="I19" s="20">
        <v>81</v>
      </c>
      <c r="J19" s="23">
        <v>2811.96</v>
      </c>
      <c r="K19" s="44">
        <f t="shared" si="0"/>
        <v>0.45</v>
      </c>
    </row>
    <row r="20" spans="1:11" x14ac:dyDescent="0.25">
      <c r="A20" s="102" t="s">
        <v>811</v>
      </c>
      <c r="B20" s="20">
        <v>248</v>
      </c>
      <c r="C20" s="20">
        <v>239</v>
      </c>
      <c r="D20" s="20">
        <v>183</v>
      </c>
      <c r="E20" s="21">
        <v>0.52739999999999998</v>
      </c>
      <c r="F20" s="20">
        <v>0.74</v>
      </c>
      <c r="G20" s="19">
        <v>25</v>
      </c>
      <c r="H20" s="18">
        <v>2335</v>
      </c>
      <c r="I20" s="20">
        <v>65</v>
      </c>
      <c r="J20" s="23">
        <v>0</v>
      </c>
      <c r="K20" s="44">
        <f t="shared" si="0"/>
        <v>0.3551912568306011</v>
      </c>
    </row>
    <row r="21" spans="1:11" x14ac:dyDescent="0.25">
      <c r="A21" s="102" t="s">
        <v>812</v>
      </c>
      <c r="B21" s="20">
        <v>184</v>
      </c>
      <c r="C21" s="20">
        <v>167</v>
      </c>
      <c r="D21" s="20">
        <v>114</v>
      </c>
      <c r="E21" s="21">
        <v>0.52529999999999999</v>
      </c>
      <c r="F21" s="20">
        <v>0.62</v>
      </c>
      <c r="G21" s="19">
        <v>15</v>
      </c>
      <c r="H21" s="18">
        <v>1487</v>
      </c>
      <c r="I21" s="20">
        <v>28</v>
      </c>
      <c r="J21" s="23">
        <v>0</v>
      </c>
      <c r="K21" s="44">
        <f t="shared" si="0"/>
        <v>0.24561403508771928</v>
      </c>
    </row>
    <row r="22" spans="1:11" x14ac:dyDescent="0.25">
      <c r="A22" s="102" t="s">
        <v>813</v>
      </c>
      <c r="B22" s="20">
        <v>174</v>
      </c>
      <c r="C22" s="20">
        <v>170</v>
      </c>
      <c r="D22" s="20">
        <v>107</v>
      </c>
      <c r="E22" s="21">
        <v>0.42799999999999999</v>
      </c>
      <c r="F22" s="20">
        <v>0.61</v>
      </c>
      <c r="G22" s="19">
        <v>11</v>
      </c>
      <c r="H22" s="18">
        <v>1584</v>
      </c>
      <c r="I22" s="20">
        <v>26</v>
      </c>
      <c r="J22" s="23">
        <v>0</v>
      </c>
      <c r="K22" s="44">
        <f t="shared" si="0"/>
        <v>0.24299065420560748</v>
      </c>
    </row>
    <row r="23" spans="1:11" x14ac:dyDescent="0.25">
      <c r="A23" s="102" t="s">
        <v>814</v>
      </c>
      <c r="B23" s="20">
        <v>164</v>
      </c>
      <c r="C23" s="20">
        <v>159</v>
      </c>
      <c r="D23" s="20">
        <v>122</v>
      </c>
      <c r="E23" s="21">
        <v>0.56479999999999997</v>
      </c>
      <c r="F23" s="20">
        <v>0.74</v>
      </c>
      <c r="G23" s="19">
        <v>14</v>
      </c>
      <c r="H23" s="18">
        <v>1462</v>
      </c>
      <c r="I23" s="20">
        <v>42</v>
      </c>
      <c r="J23" s="23">
        <v>0</v>
      </c>
      <c r="K23" s="44">
        <f t="shared" si="0"/>
        <v>0.34426229508196721</v>
      </c>
    </row>
    <row r="24" spans="1:11" x14ac:dyDescent="0.25">
      <c r="A24" s="102" t="s">
        <v>815</v>
      </c>
      <c r="B24" s="20">
        <v>163</v>
      </c>
      <c r="C24" s="20">
        <v>149</v>
      </c>
      <c r="D24" s="20">
        <v>105</v>
      </c>
      <c r="E24" s="21">
        <v>0.47299999999999998</v>
      </c>
      <c r="F24" s="20">
        <v>0.64</v>
      </c>
      <c r="G24" s="19">
        <v>7</v>
      </c>
      <c r="H24" s="18">
        <v>1382</v>
      </c>
      <c r="I24" s="20">
        <v>26</v>
      </c>
      <c r="J24" s="23">
        <v>0</v>
      </c>
      <c r="K24" s="44">
        <f t="shared" si="0"/>
        <v>0.24761904761904763</v>
      </c>
    </row>
    <row r="25" spans="1:11" x14ac:dyDescent="0.25">
      <c r="A25" s="102" t="s">
        <v>816</v>
      </c>
      <c r="B25" s="20">
        <v>154</v>
      </c>
      <c r="C25" s="20">
        <v>127</v>
      </c>
      <c r="D25" s="20">
        <v>77</v>
      </c>
      <c r="E25" s="21">
        <v>0.3362</v>
      </c>
      <c r="F25" s="20">
        <v>0.5</v>
      </c>
      <c r="G25" s="19">
        <v>8</v>
      </c>
      <c r="H25" s="18">
        <v>1062</v>
      </c>
      <c r="I25" s="20">
        <v>3</v>
      </c>
      <c r="J25" s="23">
        <v>0</v>
      </c>
      <c r="K25" s="44">
        <f t="shared" si="0"/>
        <v>3.896103896103896E-2</v>
      </c>
    </row>
    <row r="26" spans="1:11" x14ac:dyDescent="0.25">
      <c r="A26" s="102" t="s">
        <v>817</v>
      </c>
      <c r="B26" s="20">
        <v>147</v>
      </c>
      <c r="C26" s="20">
        <v>146</v>
      </c>
      <c r="D26" s="20">
        <v>102</v>
      </c>
      <c r="E26" s="21">
        <v>0.56040000000000001</v>
      </c>
      <c r="F26" s="20">
        <v>0.69</v>
      </c>
      <c r="G26" s="19">
        <v>13</v>
      </c>
      <c r="H26" s="18">
        <v>1238</v>
      </c>
      <c r="I26" s="20">
        <v>29</v>
      </c>
      <c r="J26" s="23">
        <v>0</v>
      </c>
      <c r="K26" s="44">
        <f t="shared" si="0"/>
        <v>0.28431372549019607</v>
      </c>
    </row>
    <row r="27" spans="1:11" x14ac:dyDescent="0.25">
      <c r="A27" s="102" t="s">
        <v>818</v>
      </c>
      <c r="B27" s="20">
        <v>144</v>
      </c>
      <c r="C27" s="20">
        <v>138</v>
      </c>
      <c r="D27" s="20">
        <v>99</v>
      </c>
      <c r="E27" s="21">
        <v>0.48770000000000002</v>
      </c>
      <c r="F27" s="20">
        <v>0.69</v>
      </c>
      <c r="G27" s="19">
        <v>14</v>
      </c>
      <c r="H27" s="18">
        <v>1373</v>
      </c>
      <c r="I27" s="20">
        <v>43</v>
      </c>
      <c r="J27" s="23">
        <v>0</v>
      </c>
      <c r="K27" s="44">
        <f t="shared" si="0"/>
        <v>0.43434343434343436</v>
      </c>
    </row>
    <row r="28" spans="1:11" x14ac:dyDescent="0.25">
      <c r="A28" s="102" t="s">
        <v>819</v>
      </c>
      <c r="B28" s="20">
        <v>142</v>
      </c>
      <c r="C28" s="20">
        <v>134</v>
      </c>
      <c r="D28" s="20">
        <v>94</v>
      </c>
      <c r="E28" s="21">
        <v>0.51649999999999996</v>
      </c>
      <c r="F28" s="20">
        <v>0.66</v>
      </c>
      <c r="G28" s="19">
        <v>17</v>
      </c>
      <c r="H28" s="18">
        <v>1202</v>
      </c>
      <c r="I28" s="20">
        <v>24</v>
      </c>
      <c r="J28" s="23">
        <v>0</v>
      </c>
      <c r="K28" s="44">
        <f t="shared" si="0"/>
        <v>0.25531914893617019</v>
      </c>
    </row>
    <row r="29" spans="1:11" x14ac:dyDescent="0.25">
      <c r="A29" s="102" t="s">
        <v>820</v>
      </c>
      <c r="B29" s="20">
        <v>127</v>
      </c>
      <c r="C29" s="20">
        <v>124</v>
      </c>
      <c r="D29" s="20">
        <v>100</v>
      </c>
      <c r="E29" s="21">
        <v>0.45450000000000002</v>
      </c>
      <c r="F29" s="20">
        <v>0.79</v>
      </c>
      <c r="G29" s="19">
        <v>18</v>
      </c>
      <c r="H29" s="18">
        <v>1330</v>
      </c>
      <c r="I29" s="20">
        <v>33</v>
      </c>
      <c r="J29" s="23">
        <v>0</v>
      </c>
      <c r="K29" s="44">
        <f t="shared" si="0"/>
        <v>0.33</v>
      </c>
    </row>
    <row r="30" spans="1:11" x14ac:dyDescent="0.25">
      <c r="A30" s="102" t="s">
        <v>821</v>
      </c>
      <c r="B30" s="20">
        <v>117</v>
      </c>
      <c r="C30" s="20">
        <v>115</v>
      </c>
      <c r="D30" s="20">
        <v>78</v>
      </c>
      <c r="E30" s="21">
        <v>0.49680000000000002</v>
      </c>
      <c r="F30" s="20">
        <v>0.67</v>
      </c>
      <c r="G30" s="19">
        <v>18</v>
      </c>
      <c r="H30" s="18">
        <v>1049</v>
      </c>
      <c r="I30" s="20">
        <v>15</v>
      </c>
      <c r="J30" s="23">
        <v>0</v>
      </c>
      <c r="K30" s="44">
        <f t="shared" si="0"/>
        <v>0.19230769230769232</v>
      </c>
    </row>
    <row r="31" spans="1:11" x14ac:dyDescent="0.25">
      <c r="A31" s="102" t="s">
        <v>822</v>
      </c>
      <c r="B31" s="20">
        <v>113</v>
      </c>
      <c r="C31" s="20">
        <v>109</v>
      </c>
      <c r="D31" s="20">
        <v>57</v>
      </c>
      <c r="E31" s="21">
        <v>0.34970000000000001</v>
      </c>
      <c r="F31" s="20">
        <v>0.5</v>
      </c>
      <c r="G31" s="19">
        <v>6</v>
      </c>
      <c r="H31" s="20">
        <v>895</v>
      </c>
      <c r="I31" s="20">
        <v>6</v>
      </c>
      <c r="J31" s="23">
        <v>0</v>
      </c>
      <c r="K31" s="44">
        <f t="shared" si="0"/>
        <v>0.10526315789473684</v>
      </c>
    </row>
    <row r="32" spans="1:11" x14ac:dyDescent="0.25">
      <c r="A32" s="102" t="s">
        <v>823</v>
      </c>
      <c r="B32" s="20">
        <v>113</v>
      </c>
      <c r="C32" s="20">
        <v>107</v>
      </c>
      <c r="D32" s="20">
        <v>77</v>
      </c>
      <c r="E32" s="21">
        <v>0.50990000000000002</v>
      </c>
      <c r="F32" s="20">
        <v>0.68</v>
      </c>
      <c r="G32" s="19">
        <v>25</v>
      </c>
      <c r="H32" s="18">
        <v>1061</v>
      </c>
      <c r="I32" s="20">
        <v>47</v>
      </c>
      <c r="J32" s="23">
        <v>0</v>
      </c>
      <c r="K32" s="44">
        <f t="shared" si="0"/>
        <v>0.61038961038961037</v>
      </c>
    </row>
    <row r="33" spans="1:11" x14ac:dyDescent="0.25">
      <c r="A33" s="102" t="s">
        <v>824</v>
      </c>
      <c r="B33" s="20">
        <v>111</v>
      </c>
      <c r="C33" s="20">
        <v>109</v>
      </c>
      <c r="D33" s="20">
        <v>56</v>
      </c>
      <c r="E33" s="21">
        <v>0.38890000000000002</v>
      </c>
      <c r="F33" s="20">
        <v>0.5</v>
      </c>
      <c r="G33" s="19">
        <v>11</v>
      </c>
      <c r="H33" s="20">
        <v>960</v>
      </c>
      <c r="I33" s="20">
        <v>20</v>
      </c>
      <c r="J33" s="23">
        <v>0</v>
      </c>
      <c r="K33" s="44">
        <f t="shared" si="0"/>
        <v>0.35714285714285715</v>
      </c>
    </row>
    <row r="34" spans="1:11" x14ac:dyDescent="0.25">
      <c r="A34" s="102" t="s">
        <v>825</v>
      </c>
      <c r="B34" s="20">
        <v>111</v>
      </c>
      <c r="C34" s="20">
        <v>103</v>
      </c>
      <c r="D34" s="20">
        <v>67</v>
      </c>
      <c r="E34" s="21">
        <v>0.43230000000000002</v>
      </c>
      <c r="F34" s="20">
        <v>0.6</v>
      </c>
      <c r="G34" s="19">
        <v>20</v>
      </c>
      <c r="H34" s="20">
        <v>888</v>
      </c>
      <c r="I34" s="20">
        <v>21</v>
      </c>
      <c r="J34" s="23">
        <v>0</v>
      </c>
      <c r="K34" s="44">
        <f t="shared" si="0"/>
        <v>0.31343283582089554</v>
      </c>
    </row>
    <row r="35" spans="1:11" x14ac:dyDescent="0.25">
      <c r="A35" s="102" t="s">
        <v>826</v>
      </c>
      <c r="B35" s="20">
        <v>110</v>
      </c>
      <c r="C35" s="20">
        <v>101</v>
      </c>
      <c r="D35" s="20">
        <v>86</v>
      </c>
      <c r="E35" s="21">
        <v>0.58499999999999996</v>
      </c>
      <c r="F35" s="20">
        <v>0.78</v>
      </c>
      <c r="G35" s="19">
        <v>14</v>
      </c>
      <c r="H35" s="18">
        <v>1074</v>
      </c>
      <c r="I35" s="20">
        <v>43</v>
      </c>
      <c r="J35" s="23">
        <v>0</v>
      </c>
      <c r="K35" s="44">
        <f t="shared" si="0"/>
        <v>0.5</v>
      </c>
    </row>
    <row r="36" spans="1:11" x14ac:dyDescent="0.25">
      <c r="A36" s="102" t="s">
        <v>827</v>
      </c>
      <c r="B36" s="20">
        <v>105</v>
      </c>
      <c r="C36" s="20">
        <v>96</v>
      </c>
      <c r="D36" s="20">
        <v>58</v>
      </c>
      <c r="E36" s="21">
        <v>0.43609999999999999</v>
      </c>
      <c r="F36" s="20">
        <v>0.55000000000000004</v>
      </c>
      <c r="G36" s="19">
        <v>6</v>
      </c>
      <c r="H36" s="20">
        <v>811</v>
      </c>
      <c r="I36" s="20">
        <v>23</v>
      </c>
      <c r="J36" s="23">
        <v>0</v>
      </c>
      <c r="K36" s="44">
        <f t="shared" si="0"/>
        <v>0.39655172413793105</v>
      </c>
    </row>
    <row r="37" spans="1:11" x14ac:dyDescent="0.25">
      <c r="A37" s="102" t="s">
        <v>828</v>
      </c>
      <c r="B37" s="20">
        <v>90</v>
      </c>
      <c r="C37" s="20">
        <v>50</v>
      </c>
      <c r="D37" s="20">
        <v>54</v>
      </c>
      <c r="E37" s="21">
        <v>0.46960000000000002</v>
      </c>
      <c r="F37" s="20">
        <v>0.6</v>
      </c>
      <c r="G37" s="19">
        <v>14</v>
      </c>
      <c r="H37" s="20">
        <v>542</v>
      </c>
      <c r="I37" s="20">
        <v>9</v>
      </c>
      <c r="J37" s="23">
        <v>0</v>
      </c>
      <c r="K37" s="44">
        <f t="shared" si="0"/>
        <v>0.16666666666666666</v>
      </c>
    </row>
    <row r="38" spans="1:11" x14ac:dyDescent="0.25">
      <c r="A38" s="102" t="s">
        <v>829</v>
      </c>
      <c r="B38" s="20">
        <v>84</v>
      </c>
      <c r="C38" s="20">
        <v>78</v>
      </c>
      <c r="D38" s="20">
        <v>62</v>
      </c>
      <c r="E38" s="21">
        <v>0.58489999999999998</v>
      </c>
      <c r="F38" s="20">
        <v>0.74</v>
      </c>
      <c r="G38" s="19">
        <v>14</v>
      </c>
      <c r="H38" s="20">
        <v>681</v>
      </c>
      <c r="I38" s="20">
        <v>15</v>
      </c>
      <c r="J38" s="23">
        <v>0</v>
      </c>
      <c r="K38" s="44">
        <f t="shared" si="0"/>
        <v>0.24193548387096775</v>
      </c>
    </row>
    <row r="39" spans="1:11" x14ac:dyDescent="0.25">
      <c r="A39" s="102" t="s">
        <v>830</v>
      </c>
      <c r="B39" s="20">
        <v>70</v>
      </c>
      <c r="C39" s="20">
        <v>38</v>
      </c>
      <c r="D39" s="20">
        <v>19</v>
      </c>
      <c r="E39" s="21">
        <v>0.24049999999999999</v>
      </c>
      <c r="F39" s="20">
        <v>0.27</v>
      </c>
      <c r="G39" s="19">
        <v>9</v>
      </c>
      <c r="H39" s="20">
        <v>404</v>
      </c>
      <c r="I39" s="20">
        <v>4</v>
      </c>
      <c r="J39" s="23">
        <v>0</v>
      </c>
      <c r="K39" s="44">
        <f t="shared" si="0"/>
        <v>0.21052631578947367</v>
      </c>
    </row>
    <row r="40" spans="1:11" x14ac:dyDescent="0.25">
      <c r="A40" s="102" t="s">
        <v>831</v>
      </c>
      <c r="B40" s="20">
        <v>69</v>
      </c>
      <c r="C40" s="20">
        <v>60</v>
      </c>
      <c r="D40" s="20">
        <v>27</v>
      </c>
      <c r="E40" s="21">
        <v>0.3034</v>
      </c>
      <c r="F40" s="20">
        <v>0.39</v>
      </c>
      <c r="G40" s="19">
        <v>2</v>
      </c>
      <c r="H40" s="20">
        <v>439</v>
      </c>
      <c r="I40" s="20">
        <v>0</v>
      </c>
      <c r="J40" s="23">
        <v>0</v>
      </c>
      <c r="K40" s="44">
        <f t="shared" si="0"/>
        <v>0</v>
      </c>
    </row>
    <row r="41" spans="1:11" x14ac:dyDescent="0.25">
      <c r="A41" s="102" t="s">
        <v>832</v>
      </c>
      <c r="B41" s="20">
        <v>67</v>
      </c>
      <c r="C41" s="20">
        <v>64</v>
      </c>
      <c r="D41" s="20">
        <v>52</v>
      </c>
      <c r="E41" s="21">
        <v>0.4602</v>
      </c>
      <c r="F41" s="20">
        <v>0.78</v>
      </c>
      <c r="G41" s="19">
        <v>22</v>
      </c>
      <c r="H41" s="20">
        <v>801</v>
      </c>
      <c r="I41" s="20">
        <v>9</v>
      </c>
      <c r="J41" s="23">
        <v>0</v>
      </c>
      <c r="K41" s="44">
        <f t="shared" si="0"/>
        <v>0.17307692307692307</v>
      </c>
    </row>
    <row r="42" spans="1:11" x14ac:dyDescent="0.25">
      <c r="A42" s="102" t="s">
        <v>833</v>
      </c>
      <c r="B42" s="20">
        <v>61</v>
      </c>
      <c r="C42" s="20">
        <v>30</v>
      </c>
      <c r="D42" s="20">
        <v>20</v>
      </c>
      <c r="E42" s="21">
        <v>0.15379999999999999</v>
      </c>
      <c r="F42" s="20">
        <v>0.33</v>
      </c>
      <c r="G42" s="19">
        <v>0</v>
      </c>
      <c r="H42" s="20">
        <v>508</v>
      </c>
      <c r="I42" s="20">
        <v>1</v>
      </c>
      <c r="J42" s="23">
        <v>0</v>
      </c>
      <c r="K42" s="44">
        <f t="shared" si="0"/>
        <v>0.05</v>
      </c>
    </row>
    <row r="43" spans="1:11" x14ac:dyDescent="0.25">
      <c r="A43" s="102" t="s">
        <v>646</v>
      </c>
      <c r="B43" s="20">
        <v>58</v>
      </c>
      <c r="C43" s="20">
        <v>56</v>
      </c>
      <c r="D43" s="20">
        <v>41</v>
      </c>
      <c r="E43" s="21">
        <v>0.56940000000000002</v>
      </c>
      <c r="F43" s="20">
        <v>0.71</v>
      </c>
      <c r="G43" s="19">
        <v>13</v>
      </c>
      <c r="H43" s="20">
        <v>470</v>
      </c>
      <c r="I43" s="20">
        <v>25</v>
      </c>
      <c r="J43" s="23">
        <v>0</v>
      </c>
      <c r="K43" s="44">
        <f t="shared" si="0"/>
        <v>0.6097560975609756</v>
      </c>
    </row>
    <row r="44" spans="1:11" x14ac:dyDescent="0.25">
      <c r="A44" s="102" t="s">
        <v>834</v>
      </c>
      <c r="B44" s="20">
        <v>51</v>
      </c>
      <c r="C44" s="20">
        <v>49</v>
      </c>
      <c r="D44" s="20">
        <v>33</v>
      </c>
      <c r="E44" s="21">
        <v>0.52380000000000004</v>
      </c>
      <c r="F44" s="20">
        <v>0.65</v>
      </c>
      <c r="G44" s="19">
        <v>11</v>
      </c>
      <c r="H44" s="20">
        <v>416</v>
      </c>
      <c r="I44" s="20">
        <v>8</v>
      </c>
      <c r="J44" s="23">
        <v>0</v>
      </c>
      <c r="K44" s="44">
        <f t="shared" si="0"/>
        <v>0.24242424242424243</v>
      </c>
    </row>
    <row r="45" spans="1:11" x14ac:dyDescent="0.25">
      <c r="A45" s="102" t="s">
        <v>835</v>
      </c>
      <c r="B45" s="20">
        <v>47</v>
      </c>
      <c r="C45" s="20">
        <v>46</v>
      </c>
      <c r="D45" s="20">
        <v>37</v>
      </c>
      <c r="E45" s="21">
        <v>0.52859999999999996</v>
      </c>
      <c r="F45" s="20">
        <v>0.79</v>
      </c>
      <c r="G45" s="19">
        <v>16</v>
      </c>
      <c r="H45" s="20">
        <v>423</v>
      </c>
      <c r="I45" s="20">
        <v>9</v>
      </c>
      <c r="J45" s="23">
        <v>0</v>
      </c>
      <c r="K45" s="44">
        <f t="shared" si="0"/>
        <v>0.24324324324324326</v>
      </c>
    </row>
    <row r="46" spans="1:11" x14ac:dyDescent="0.25">
      <c r="A46" s="102" t="s">
        <v>836</v>
      </c>
      <c r="B46" s="20">
        <v>46</v>
      </c>
      <c r="C46" s="20">
        <v>46</v>
      </c>
      <c r="D46" s="20">
        <v>29</v>
      </c>
      <c r="E46" s="21">
        <v>0.46029999999999999</v>
      </c>
      <c r="F46" s="20">
        <v>0.63</v>
      </c>
      <c r="G46" s="19">
        <v>34</v>
      </c>
      <c r="H46" s="20">
        <v>440</v>
      </c>
      <c r="I46" s="20">
        <v>2</v>
      </c>
      <c r="J46" s="23">
        <v>0</v>
      </c>
      <c r="K46" s="44">
        <f t="shared" si="0"/>
        <v>6.8965517241379309E-2</v>
      </c>
    </row>
    <row r="47" spans="1:11" x14ac:dyDescent="0.25">
      <c r="A47" s="102" t="s">
        <v>837</v>
      </c>
      <c r="B47" s="20">
        <v>43</v>
      </c>
      <c r="C47" s="20">
        <v>41</v>
      </c>
      <c r="D47" s="20">
        <v>37</v>
      </c>
      <c r="E47" s="21">
        <v>0.48680000000000001</v>
      </c>
      <c r="F47" s="20">
        <v>0.86</v>
      </c>
      <c r="G47" s="19">
        <v>10</v>
      </c>
      <c r="H47" s="20">
        <v>473</v>
      </c>
      <c r="I47" s="20">
        <v>5</v>
      </c>
      <c r="J47" s="23">
        <v>0</v>
      </c>
      <c r="K47" s="44">
        <f t="shared" si="0"/>
        <v>0.13513513513513514</v>
      </c>
    </row>
    <row r="48" spans="1:11" x14ac:dyDescent="0.25">
      <c r="A48" s="102" t="s">
        <v>838</v>
      </c>
      <c r="B48" s="20">
        <v>42</v>
      </c>
      <c r="C48" s="20">
        <v>39</v>
      </c>
      <c r="D48" s="20">
        <v>13</v>
      </c>
      <c r="E48" s="21">
        <v>0.20630000000000001</v>
      </c>
      <c r="F48" s="20">
        <v>0.31</v>
      </c>
      <c r="G48" s="19">
        <v>2</v>
      </c>
      <c r="H48" s="20">
        <v>332</v>
      </c>
      <c r="I48" s="20">
        <v>0</v>
      </c>
      <c r="J48" s="23">
        <v>0</v>
      </c>
      <c r="K48" s="44">
        <f t="shared" si="0"/>
        <v>0</v>
      </c>
    </row>
    <row r="49" spans="1:11" x14ac:dyDescent="0.25">
      <c r="A49" s="102" t="s">
        <v>839</v>
      </c>
      <c r="B49" s="20">
        <v>42</v>
      </c>
      <c r="C49" s="20">
        <v>42</v>
      </c>
      <c r="D49" s="20">
        <v>29</v>
      </c>
      <c r="E49" s="21">
        <v>0.52729999999999999</v>
      </c>
      <c r="F49" s="20">
        <v>0.69</v>
      </c>
      <c r="G49" s="19">
        <v>10</v>
      </c>
      <c r="H49" s="20">
        <v>351</v>
      </c>
      <c r="I49" s="20">
        <v>6</v>
      </c>
      <c r="J49" s="23">
        <v>0</v>
      </c>
      <c r="K49" s="44">
        <f t="shared" si="0"/>
        <v>0.20689655172413793</v>
      </c>
    </row>
    <row r="50" spans="1:11" x14ac:dyDescent="0.25">
      <c r="A50" s="102" t="s">
        <v>840</v>
      </c>
      <c r="B50" s="20">
        <v>38</v>
      </c>
      <c r="C50" s="20">
        <v>36</v>
      </c>
      <c r="D50" s="20">
        <v>26</v>
      </c>
      <c r="E50" s="21">
        <v>0.5</v>
      </c>
      <c r="F50" s="20">
        <v>0.68</v>
      </c>
      <c r="G50" s="19">
        <v>12</v>
      </c>
      <c r="H50" s="20">
        <v>362</v>
      </c>
      <c r="I50" s="20">
        <v>14</v>
      </c>
      <c r="J50" s="23">
        <v>0</v>
      </c>
      <c r="K50" s="44">
        <f t="shared" si="0"/>
        <v>0.53846153846153844</v>
      </c>
    </row>
    <row r="51" spans="1:11" x14ac:dyDescent="0.25">
      <c r="A51" s="102" t="s">
        <v>841</v>
      </c>
      <c r="B51" s="20">
        <v>31</v>
      </c>
      <c r="C51" s="20">
        <v>29</v>
      </c>
      <c r="D51" s="20">
        <v>12</v>
      </c>
      <c r="E51" s="21">
        <v>0.32429999999999998</v>
      </c>
      <c r="F51" s="20">
        <v>0.39</v>
      </c>
      <c r="G51" s="19">
        <v>6</v>
      </c>
      <c r="H51" s="20">
        <v>228</v>
      </c>
      <c r="I51" s="20">
        <v>1</v>
      </c>
      <c r="J51" s="23">
        <v>0</v>
      </c>
      <c r="K51" s="44">
        <f t="shared" si="0"/>
        <v>8.3333333333333329E-2</v>
      </c>
    </row>
    <row r="52" spans="1:11" x14ac:dyDescent="0.25">
      <c r="A52" s="102" t="s">
        <v>842</v>
      </c>
      <c r="B52" s="20">
        <v>30</v>
      </c>
      <c r="C52" s="20">
        <v>27</v>
      </c>
      <c r="D52" s="20">
        <v>18</v>
      </c>
      <c r="E52" s="21">
        <v>0.40910000000000002</v>
      </c>
      <c r="F52" s="20">
        <v>0.6</v>
      </c>
      <c r="G52" s="19">
        <v>11</v>
      </c>
      <c r="H52" s="20">
        <v>292</v>
      </c>
      <c r="I52" s="20">
        <v>6</v>
      </c>
      <c r="J52" s="23">
        <v>0</v>
      </c>
      <c r="K52" s="44">
        <f t="shared" si="0"/>
        <v>0.33333333333333331</v>
      </c>
    </row>
    <row r="53" spans="1:11" x14ac:dyDescent="0.25">
      <c r="A53" s="102" t="s">
        <v>843</v>
      </c>
      <c r="B53" s="20">
        <v>29</v>
      </c>
      <c r="C53" s="20">
        <v>18</v>
      </c>
      <c r="D53" s="20">
        <v>11</v>
      </c>
      <c r="E53" s="21">
        <v>0.25</v>
      </c>
      <c r="F53" s="20">
        <v>0.38</v>
      </c>
      <c r="G53" s="19">
        <v>40</v>
      </c>
      <c r="H53" s="20">
        <v>206</v>
      </c>
      <c r="I53" s="20">
        <v>1</v>
      </c>
      <c r="J53" s="23">
        <v>0</v>
      </c>
      <c r="K53" s="44">
        <f t="shared" si="0"/>
        <v>9.0909090909090912E-2</v>
      </c>
    </row>
    <row r="54" spans="1:11" x14ac:dyDescent="0.25">
      <c r="A54" s="102" t="s">
        <v>647</v>
      </c>
      <c r="B54" s="20">
        <v>29</v>
      </c>
      <c r="C54" s="20">
        <v>28</v>
      </c>
      <c r="D54" s="20">
        <v>22</v>
      </c>
      <c r="E54" s="21">
        <v>0.53659999999999997</v>
      </c>
      <c r="F54" s="20">
        <v>0.76</v>
      </c>
      <c r="G54" s="19">
        <v>20</v>
      </c>
      <c r="H54" s="20">
        <v>330</v>
      </c>
      <c r="I54" s="20">
        <v>14</v>
      </c>
      <c r="J54" s="23">
        <v>0</v>
      </c>
      <c r="K54" s="44">
        <f t="shared" si="0"/>
        <v>0.63636363636363635</v>
      </c>
    </row>
    <row r="55" spans="1:11" x14ac:dyDescent="0.25">
      <c r="A55" s="102" t="s">
        <v>844</v>
      </c>
      <c r="B55" s="20">
        <v>28</v>
      </c>
      <c r="C55" s="20">
        <v>28</v>
      </c>
      <c r="D55" s="20">
        <v>22</v>
      </c>
      <c r="E55" s="21">
        <v>0.53659999999999997</v>
      </c>
      <c r="F55" s="20">
        <v>0.79</v>
      </c>
      <c r="G55" s="19">
        <v>19</v>
      </c>
      <c r="H55" s="20">
        <v>313</v>
      </c>
      <c r="I55" s="20">
        <v>4</v>
      </c>
      <c r="J55" s="23">
        <v>0</v>
      </c>
      <c r="K55" s="44">
        <f t="shared" si="0"/>
        <v>0.18181818181818182</v>
      </c>
    </row>
    <row r="56" spans="1:11" x14ac:dyDescent="0.25">
      <c r="A56" s="102" t="s">
        <v>845</v>
      </c>
      <c r="B56" s="20">
        <v>28</v>
      </c>
      <c r="C56" s="20">
        <v>24</v>
      </c>
      <c r="D56" s="20">
        <v>17</v>
      </c>
      <c r="E56" s="21">
        <v>0.39529999999999998</v>
      </c>
      <c r="F56" s="20">
        <v>0.61</v>
      </c>
      <c r="G56" s="19">
        <v>7</v>
      </c>
      <c r="H56" s="20">
        <v>223</v>
      </c>
      <c r="I56" s="20">
        <v>6</v>
      </c>
      <c r="J56" s="23">
        <v>0</v>
      </c>
      <c r="K56" s="44">
        <f t="shared" si="0"/>
        <v>0.35294117647058826</v>
      </c>
    </row>
    <row r="57" spans="1:11" x14ac:dyDescent="0.25">
      <c r="A57" s="102" t="s">
        <v>846</v>
      </c>
      <c r="B57" s="20">
        <v>27</v>
      </c>
      <c r="C57" s="20">
        <v>26</v>
      </c>
      <c r="D57" s="20">
        <v>12</v>
      </c>
      <c r="E57" s="21">
        <v>0.3871</v>
      </c>
      <c r="F57" s="20">
        <v>0.44</v>
      </c>
      <c r="G57" s="19">
        <v>5</v>
      </c>
      <c r="H57" s="20">
        <v>176</v>
      </c>
      <c r="I57" s="20">
        <v>2</v>
      </c>
      <c r="J57" s="23">
        <v>0</v>
      </c>
      <c r="K57" s="44">
        <f t="shared" si="0"/>
        <v>0.16666666666666666</v>
      </c>
    </row>
    <row r="58" spans="1:11" x14ac:dyDescent="0.25">
      <c r="A58" s="102" t="s">
        <v>847</v>
      </c>
      <c r="B58" s="20">
        <v>27</v>
      </c>
      <c r="C58" s="20">
        <v>25</v>
      </c>
      <c r="D58" s="20">
        <v>26</v>
      </c>
      <c r="E58" s="21">
        <v>0.48149999999999998</v>
      </c>
      <c r="F58" s="20">
        <v>0.96</v>
      </c>
      <c r="G58" s="19">
        <v>64</v>
      </c>
      <c r="H58" s="20">
        <v>466</v>
      </c>
      <c r="I58" s="20">
        <v>41</v>
      </c>
      <c r="J58" s="23">
        <v>585.9</v>
      </c>
      <c r="K58" s="44">
        <f t="shared" si="0"/>
        <v>1.5769230769230769</v>
      </c>
    </row>
    <row r="59" spans="1:11" x14ac:dyDescent="0.25">
      <c r="A59" s="102" t="s">
        <v>848</v>
      </c>
      <c r="B59" s="20">
        <v>26</v>
      </c>
      <c r="C59" s="20">
        <v>26</v>
      </c>
      <c r="D59" s="20">
        <v>20</v>
      </c>
      <c r="E59" s="21">
        <v>0.52629999999999999</v>
      </c>
      <c r="F59" s="20">
        <v>0.77</v>
      </c>
      <c r="G59" s="19">
        <v>12</v>
      </c>
      <c r="H59" s="20">
        <v>242</v>
      </c>
      <c r="I59" s="20">
        <v>11</v>
      </c>
      <c r="J59" s="23">
        <v>0</v>
      </c>
      <c r="K59" s="44">
        <f t="shared" si="0"/>
        <v>0.55000000000000004</v>
      </c>
    </row>
    <row r="60" spans="1:11" x14ac:dyDescent="0.25">
      <c r="A60" s="102" t="s">
        <v>849</v>
      </c>
      <c r="B60" s="20">
        <v>25</v>
      </c>
      <c r="C60" s="20">
        <v>22</v>
      </c>
      <c r="D60" s="20">
        <v>10</v>
      </c>
      <c r="E60" s="21">
        <v>0.3125</v>
      </c>
      <c r="F60" s="20">
        <v>0.4</v>
      </c>
      <c r="G60" s="19">
        <v>5</v>
      </c>
      <c r="H60" s="20">
        <v>167</v>
      </c>
      <c r="I60" s="20">
        <v>3</v>
      </c>
      <c r="J60" s="23">
        <v>0</v>
      </c>
      <c r="K60" s="44">
        <f t="shared" si="0"/>
        <v>0.3</v>
      </c>
    </row>
    <row r="61" spans="1:11" x14ac:dyDescent="0.25">
      <c r="A61" s="102" t="s">
        <v>850</v>
      </c>
      <c r="B61" s="20">
        <v>25</v>
      </c>
      <c r="C61" s="20">
        <v>18</v>
      </c>
      <c r="D61" s="20">
        <v>21</v>
      </c>
      <c r="E61" s="21">
        <v>0.55259999999999998</v>
      </c>
      <c r="F61" s="20">
        <v>0.84</v>
      </c>
      <c r="G61" s="19">
        <v>39</v>
      </c>
      <c r="H61" s="20">
        <v>219</v>
      </c>
      <c r="I61" s="20">
        <v>1</v>
      </c>
      <c r="J61" s="23">
        <v>0</v>
      </c>
      <c r="K61" s="44">
        <f t="shared" si="0"/>
        <v>4.7619047619047616E-2</v>
      </c>
    </row>
    <row r="62" spans="1:11" x14ac:dyDescent="0.25">
      <c r="A62" s="102" t="s">
        <v>851</v>
      </c>
      <c r="B62" s="20">
        <v>24</v>
      </c>
      <c r="C62" s="20">
        <v>24</v>
      </c>
      <c r="D62" s="20">
        <v>11</v>
      </c>
      <c r="E62" s="21">
        <v>0.37930000000000003</v>
      </c>
      <c r="F62" s="20">
        <v>0.46</v>
      </c>
      <c r="G62" s="19">
        <v>11</v>
      </c>
      <c r="H62" s="20">
        <v>205</v>
      </c>
      <c r="I62" s="20">
        <v>2</v>
      </c>
      <c r="J62" s="23">
        <v>0</v>
      </c>
      <c r="K62" s="44">
        <f t="shared" si="0"/>
        <v>0.18181818181818182</v>
      </c>
    </row>
    <row r="63" spans="1:11" x14ac:dyDescent="0.25">
      <c r="A63" s="102" t="s">
        <v>852</v>
      </c>
      <c r="B63" s="20">
        <v>23</v>
      </c>
      <c r="C63" s="20">
        <v>21</v>
      </c>
      <c r="D63" s="20">
        <v>8</v>
      </c>
      <c r="E63" s="21">
        <v>0.26669999999999999</v>
      </c>
      <c r="F63" s="20">
        <v>0.35</v>
      </c>
      <c r="G63" s="19">
        <v>1</v>
      </c>
      <c r="H63" s="20">
        <v>143</v>
      </c>
      <c r="I63" s="20">
        <v>4</v>
      </c>
      <c r="J63" s="23">
        <v>0</v>
      </c>
      <c r="K63" s="44">
        <f t="shared" si="0"/>
        <v>0.5</v>
      </c>
    </row>
    <row r="64" spans="1:11" x14ac:dyDescent="0.25">
      <c r="A64" s="102" t="s">
        <v>853</v>
      </c>
      <c r="B64" s="20">
        <v>21</v>
      </c>
      <c r="C64" s="20">
        <v>21</v>
      </c>
      <c r="D64" s="20">
        <v>17</v>
      </c>
      <c r="E64" s="21">
        <v>0.40479999999999999</v>
      </c>
      <c r="F64" s="20">
        <v>0.81</v>
      </c>
      <c r="G64" s="19">
        <v>14</v>
      </c>
      <c r="H64" s="20">
        <v>240</v>
      </c>
      <c r="I64" s="20">
        <v>4</v>
      </c>
      <c r="J64" s="23">
        <v>0</v>
      </c>
      <c r="K64" s="44">
        <f t="shared" si="0"/>
        <v>0.23529411764705882</v>
      </c>
    </row>
    <row r="65" spans="1:11" x14ac:dyDescent="0.25">
      <c r="A65" s="102" t="s">
        <v>854</v>
      </c>
      <c r="B65" s="20">
        <v>20</v>
      </c>
      <c r="C65" s="20">
        <v>18</v>
      </c>
      <c r="D65" s="20">
        <v>27</v>
      </c>
      <c r="E65" s="21">
        <v>0.75</v>
      </c>
      <c r="F65" s="20">
        <v>1.35</v>
      </c>
      <c r="G65" s="19">
        <v>52</v>
      </c>
      <c r="H65" s="20">
        <v>264</v>
      </c>
      <c r="I65" s="20">
        <v>4</v>
      </c>
      <c r="J65" s="23">
        <v>0</v>
      </c>
      <c r="K65" s="44">
        <f t="shared" si="0"/>
        <v>0.14814814814814814</v>
      </c>
    </row>
    <row r="66" spans="1:11" x14ac:dyDescent="0.25">
      <c r="A66" s="102" t="s">
        <v>855</v>
      </c>
      <c r="B66" s="20">
        <v>19</v>
      </c>
      <c r="C66" s="20">
        <v>18</v>
      </c>
      <c r="D66" s="20">
        <v>13</v>
      </c>
      <c r="E66" s="21">
        <v>0.48149999999999998</v>
      </c>
      <c r="F66" s="20">
        <v>0.68</v>
      </c>
      <c r="G66" s="19">
        <v>7</v>
      </c>
      <c r="H66" s="20">
        <v>193</v>
      </c>
      <c r="I66" s="20">
        <v>3</v>
      </c>
      <c r="J66" s="23">
        <v>0</v>
      </c>
      <c r="K66" s="44">
        <f t="shared" si="0"/>
        <v>0.23076923076923078</v>
      </c>
    </row>
    <row r="67" spans="1:11" x14ac:dyDescent="0.25">
      <c r="A67" s="102" t="s">
        <v>648</v>
      </c>
      <c r="B67" s="20">
        <v>19</v>
      </c>
      <c r="C67" s="20">
        <v>19</v>
      </c>
      <c r="D67" s="20">
        <v>13</v>
      </c>
      <c r="E67" s="21">
        <v>0.48149999999999998</v>
      </c>
      <c r="F67" s="20">
        <v>0.68</v>
      </c>
      <c r="G67" s="19">
        <v>51</v>
      </c>
      <c r="H67" s="20">
        <v>175</v>
      </c>
      <c r="I67" s="20">
        <v>11</v>
      </c>
      <c r="J67" s="23">
        <v>0</v>
      </c>
      <c r="K67" s="44">
        <f t="shared" ref="K67:K130" si="1">IF(D67=0, 0, I67/D67)</f>
        <v>0.84615384615384615</v>
      </c>
    </row>
    <row r="68" spans="1:11" x14ac:dyDescent="0.25">
      <c r="A68" s="102" t="s">
        <v>856</v>
      </c>
      <c r="B68" s="20">
        <v>18</v>
      </c>
      <c r="C68" s="20">
        <v>16</v>
      </c>
      <c r="D68" s="20">
        <v>13</v>
      </c>
      <c r="E68" s="21">
        <v>0.43330000000000002</v>
      </c>
      <c r="F68" s="20">
        <v>0.72</v>
      </c>
      <c r="G68" s="19">
        <v>12</v>
      </c>
      <c r="H68" s="20">
        <v>182</v>
      </c>
      <c r="I68" s="20">
        <v>5</v>
      </c>
      <c r="J68" s="23">
        <v>0</v>
      </c>
      <c r="K68" s="44">
        <f t="shared" si="1"/>
        <v>0.38461538461538464</v>
      </c>
    </row>
    <row r="69" spans="1:11" x14ac:dyDescent="0.25">
      <c r="A69" s="102" t="s">
        <v>857</v>
      </c>
      <c r="B69" s="20">
        <v>18</v>
      </c>
      <c r="C69" s="20">
        <v>18</v>
      </c>
      <c r="D69" s="20">
        <v>11</v>
      </c>
      <c r="E69" s="21">
        <v>0.4783</v>
      </c>
      <c r="F69" s="20">
        <v>0.61</v>
      </c>
      <c r="G69" s="19">
        <v>6</v>
      </c>
      <c r="H69" s="20">
        <v>156</v>
      </c>
      <c r="I69" s="20">
        <v>2</v>
      </c>
      <c r="J69" s="23">
        <v>0</v>
      </c>
      <c r="K69" s="44">
        <f t="shared" si="1"/>
        <v>0.18181818181818182</v>
      </c>
    </row>
    <row r="70" spans="1:11" x14ac:dyDescent="0.25">
      <c r="A70" s="102" t="s">
        <v>858</v>
      </c>
      <c r="B70" s="20">
        <v>17</v>
      </c>
      <c r="C70" s="20">
        <v>16</v>
      </c>
      <c r="D70" s="20">
        <v>9</v>
      </c>
      <c r="E70" s="21">
        <v>0.2727</v>
      </c>
      <c r="F70" s="20">
        <v>0.53</v>
      </c>
      <c r="G70" s="19">
        <v>4</v>
      </c>
      <c r="H70" s="20">
        <v>159</v>
      </c>
      <c r="I70" s="20">
        <v>2</v>
      </c>
      <c r="J70" s="23">
        <v>0</v>
      </c>
      <c r="K70" s="44">
        <f t="shared" si="1"/>
        <v>0.22222222222222221</v>
      </c>
    </row>
    <row r="71" spans="1:11" x14ac:dyDescent="0.25">
      <c r="A71" s="102" t="s">
        <v>859</v>
      </c>
      <c r="B71" s="20">
        <v>15</v>
      </c>
      <c r="C71" s="20">
        <v>9</v>
      </c>
      <c r="D71" s="20">
        <v>12</v>
      </c>
      <c r="E71" s="21">
        <v>0.48</v>
      </c>
      <c r="F71" s="20">
        <v>0.8</v>
      </c>
      <c r="G71" s="19">
        <v>13</v>
      </c>
      <c r="H71" s="20">
        <v>137</v>
      </c>
      <c r="I71" s="20">
        <v>1</v>
      </c>
      <c r="J71" s="23">
        <v>0</v>
      </c>
      <c r="K71" s="44">
        <f t="shared" si="1"/>
        <v>8.3333333333333329E-2</v>
      </c>
    </row>
    <row r="72" spans="1:11" x14ac:dyDescent="0.25">
      <c r="A72" s="102" t="s">
        <v>860</v>
      </c>
      <c r="B72" s="20">
        <v>15</v>
      </c>
      <c r="C72" s="20">
        <v>14</v>
      </c>
      <c r="D72" s="20">
        <v>6</v>
      </c>
      <c r="E72" s="21">
        <v>0.28570000000000001</v>
      </c>
      <c r="F72" s="20">
        <v>0.4</v>
      </c>
      <c r="G72" s="19">
        <v>5</v>
      </c>
      <c r="H72" s="20">
        <v>113</v>
      </c>
      <c r="I72" s="20">
        <v>0</v>
      </c>
      <c r="J72" s="23">
        <v>0</v>
      </c>
      <c r="K72" s="44">
        <f t="shared" si="1"/>
        <v>0</v>
      </c>
    </row>
    <row r="73" spans="1:11" x14ac:dyDescent="0.25">
      <c r="A73" s="102" t="s">
        <v>861</v>
      </c>
      <c r="B73" s="20">
        <v>14</v>
      </c>
      <c r="C73" s="20">
        <v>14</v>
      </c>
      <c r="D73" s="20">
        <v>9</v>
      </c>
      <c r="E73" s="21">
        <v>0.6</v>
      </c>
      <c r="F73" s="20">
        <v>0.64</v>
      </c>
      <c r="G73" s="19">
        <v>7</v>
      </c>
      <c r="H73" s="20">
        <v>102</v>
      </c>
      <c r="I73" s="20">
        <v>1</v>
      </c>
      <c r="J73" s="23">
        <v>0</v>
      </c>
      <c r="K73" s="44">
        <f t="shared" si="1"/>
        <v>0.1111111111111111</v>
      </c>
    </row>
    <row r="74" spans="1:11" x14ac:dyDescent="0.25">
      <c r="A74" s="102" t="s">
        <v>862</v>
      </c>
      <c r="B74" s="20">
        <v>13</v>
      </c>
      <c r="C74" s="20">
        <v>9</v>
      </c>
      <c r="D74" s="20">
        <v>5</v>
      </c>
      <c r="E74" s="21">
        <v>0.23810000000000001</v>
      </c>
      <c r="F74" s="20">
        <v>0.38</v>
      </c>
      <c r="G74" s="19">
        <v>7</v>
      </c>
      <c r="H74" s="20">
        <v>98</v>
      </c>
      <c r="I74" s="20">
        <v>2</v>
      </c>
      <c r="J74" s="23">
        <v>0</v>
      </c>
      <c r="K74" s="44">
        <f t="shared" si="1"/>
        <v>0.4</v>
      </c>
    </row>
    <row r="75" spans="1:11" x14ac:dyDescent="0.25">
      <c r="A75" s="102" t="s">
        <v>863</v>
      </c>
      <c r="B75" s="20">
        <v>13</v>
      </c>
      <c r="C75" s="20">
        <v>12</v>
      </c>
      <c r="D75" s="20">
        <v>13</v>
      </c>
      <c r="E75" s="21">
        <v>0.56520000000000004</v>
      </c>
      <c r="F75" s="20">
        <v>1</v>
      </c>
      <c r="G75" s="19">
        <v>30</v>
      </c>
      <c r="H75" s="20">
        <v>143</v>
      </c>
      <c r="I75" s="20">
        <v>1</v>
      </c>
      <c r="J75" s="23">
        <v>0</v>
      </c>
      <c r="K75" s="44">
        <f t="shared" si="1"/>
        <v>7.6923076923076927E-2</v>
      </c>
    </row>
    <row r="76" spans="1:11" x14ac:dyDescent="0.25">
      <c r="A76" s="102" t="s">
        <v>864</v>
      </c>
      <c r="B76" s="20">
        <v>13</v>
      </c>
      <c r="C76" s="20">
        <v>12</v>
      </c>
      <c r="D76" s="20">
        <v>4</v>
      </c>
      <c r="E76" s="21">
        <v>0.23530000000000001</v>
      </c>
      <c r="F76" s="20">
        <v>0.31</v>
      </c>
      <c r="G76" s="19">
        <v>1</v>
      </c>
      <c r="H76" s="20">
        <v>92</v>
      </c>
      <c r="I76" s="20">
        <v>0</v>
      </c>
      <c r="J76" s="23">
        <v>0</v>
      </c>
      <c r="K76" s="44">
        <f t="shared" si="1"/>
        <v>0</v>
      </c>
    </row>
    <row r="77" spans="1:11" x14ac:dyDescent="0.25">
      <c r="A77" s="102" t="s">
        <v>865</v>
      </c>
      <c r="B77" s="20">
        <v>12</v>
      </c>
      <c r="C77" s="20">
        <v>11</v>
      </c>
      <c r="D77" s="20">
        <v>8</v>
      </c>
      <c r="E77" s="21">
        <v>0.61539999999999995</v>
      </c>
      <c r="F77" s="20">
        <v>0.67</v>
      </c>
      <c r="G77" s="19">
        <v>21</v>
      </c>
      <c r="H77" s="20">
        <v>91</v>
      </c>
      <c r="I77" s="20">
        <v>5</v>
      </c>
      <c r="J77" s="23">
        <v>0</v>
      </c>
      <c r="K77" s="44">
        <f t="shared" si="1"/>
        <v>0.625</v>
      </c>
    </row>
    <row r="78" spans="1:11" x14ac:dyDescent="0.25">
      <c r="A78" s="102" t="s">
        <v>866</v>
      </c>
      <c r="B78" s="20">
        <v>12</v>
      </c>
      <c r="C78" s="20">
        <v>6</v>
      </c>
      <c r="D78" s="20">
        <v>6</v>
      </c>
      <c r="E78" s="21">
        <v>0.35289999999999999</v>
      </c>
      <c r="F78" s="20">
        <v>0.5</v>
      </c>
      <c r="G78" s="19">
        <v>32</v>
      </c>
      <c r="H78" s="20">
        <v>85</v>
      </c>
      <c r="I78" s="20">
        <v>0</v>
      </c>
      <c r="J78" s="23">
        <v>0</v>
      </c>
      <c r="K78" s="44">
        <f t="shared" si="1"/>
        <v>0</v>
      </c>
    </row>
    <row r="79" spans="1:11" x14ac:dyDescent="0.25">
      <c r="A79" s="102" t="s">
        <v>867</v>
      </c>
      <c r="B79" s="20">
        <v>11</v>
      </c>
      <c r="C79" s="20">
        <v>11</v>
      </c>
      <c r="D79" s="20">
        <v>11</v>
      </c>
      <c r="E79" s="21">
        <v>0.57889999999999997</v>
      </c>
      <c r="F79" s="20">
        <v>1</v>
      </c>
      <c r="G79" s="19">
        <v>13</v>
      </c>
      <c r="H79" s="20">
        <v>130</v>
      </c>
      <c r="I79" s="20">
        <v>0</v>
      </c>
      <c r="J79" s="23">
        <v>0</v>
      </c>
      <c r="K79" s="44">
        <f t="shared" si="1"/>
        <v>0</v>
      </c>
    </row>
    <row r="80" spans="1:11" x14ac:dyDescent="0.25">
      <c r="A80" s="102" t="s">
        <v>868</v>
      </c>
      <c r="B80" s="20">
        <v>11</v>
      </c>
      <c r="C80" s="20">
        <v>10</v>
      </c>
      <c r="D80" s="20">
        <v>7</v>
      </c>
      <c r="E80" s="21">
        <v>0.53849999999999998</v>
      </c>
      <c r="F80" s="20">
        <v>0.64</v>
      </c>
      <c r="G80" s="19">
        <v>21</v>
      </c>
      <c r="H80" s="20">
        <v>91</v>
      </c>
      <c r="I80" s="20">
        <v>0</v>
      </c>
      <c r="J80" s="23">
        <v>0</v>
      </c>
      <c r="K80" s="44">
        <f t="shared" si="1"/>
        <v>0</v>
      </c>
    </row>
    <row r="81" spans="1:11" x14ac:dyDescent="0.25">
      <c r="A81" s="102" t="s">
        <v>869</v>
      </c>
      <c r="B81" s="20">
        <v>11</v>
      </c>
      <c r="C81" s="20">
        <v>11</v>
      </c>
      <c r="D81" s="20">
        <v>5</v>
      </c>
      <c r="E81" s="21">
        <v>0.35709999999999997</v>
      </c>
      <c r="F81" s="20">
        <v>0.45</v>
      </c>
      <c r="G81" s="19">
        <v>14</v>
      </c>
      <c r="H81" s="20">
        <v>96</v>
      </c>
      <c r="I81" s="20">
        <v>2</v>
      </c>
      <c r="J81" s="23">
        <v>0</v>
      </c>
      <c r="K81" s="44">
        <f t="shared" si="1"/>
        <v>0.4</v>
      </c>
    </row>
    <row r="82" spans="1:11" x14ac:dyDescent="0.25">
      <c r="A82" s="102" t="s">
        <v>870</v>
      </c>
      <c r="B82" s="20">
        <v>11</v>
      </c>
      <c r="C82" s="20">
        <v>11</v>
      </c>
      <c r="D82" s="20">
        <v>3</v>
      </c>
      <c r="E82" s="21">
        <v>0.21429999999999999</v>
      </c>
      <c r="F82" s="20">
        <v>0.27</v>
      </c>
      <c r="G82" s="19">
        <v>2</v>
      </c>
      <c r="H82" s="20">
        <v>62</v>
      </c>
      <c r="I82" s="20">
        <v>2</v>
      </c>
      <c r="J82" s="23">
        <v>0</v>
      </c>
      <c r="K82" s="44">
        <f t="shared" si="1"/>
        <v>0.66666666666666663</v>
      </c>
    </row>
    <row r="83" spans="1:11" x14ac:dyDescent="0.25">
      <c r="A83" s="102" t="s">
        <v>871</v>
      </c>
      <c r="B83" s="20">
        <v>10</v>
      </c>
      <c r="C83" s="20">
        <v>3</v>
      </c>
      <c r="D83" s="20">
        <v>2</v>
      </c>
      <c r="E83" s="21">
        <v>0.16669999999999999</v>
      </c>
      <c r="F83" s="20">
        <v>0.2</v>
      </c>
      <c r="G83" s="19">
        <v>9</v>
      </c>
      <c r="H83" s="20">
        <v>47</v>
      </c>
      <c r="I83" s="20">
        <v>0</v>
      </c>
      <c r="J83" s="23">
        <v>0</v>
      </c>
      <c r="K83" s="44">
        <f t="shared" si="1"/>
        <v>0</v>
      </c>
    </row>
    <row r="84" spans="1:11" x14ac:dyDescent="0.25">
      <c r="A84" s="102" t="s">
        <v>872</v>
      </c>
      <c r="B84" s="20">
        <v>10</v>
      </c>
      <c r="C84" s="20">
        <v>10</v>
      </c>
      <c r="D84" s="20">
        <v>7</v>
      </c>
      <c r="E84" s="21">
        <v>0.63639999999999997</v>
      </c>
      <c r="F84" s="20">
        <v>0.7</v>
      </c>
      <c r="G84" s="19">
        <v>12</v>
      </c>
      <c r="H84" s="20">
        <v>94</v>
      </c>
      <c r="I84" s="20">
        <v>1</v>
      </c>
      <c r="J84" s="23">
        <v>0</v>
      </c>
      <c r="K84" s="44">
        <f t="shared" si="1"/>
        <v>0.14285714285714285</v>
      </c>
    </row>
    <row r="85" spans="1:11" x14ac:dyDescent="0.25">
      <c r="A85" s="102" t="s">
        <v>873</v>
      </c>
      <c r="B85" s="20">
        <v>10</v>
      </c>
      <c r="C85" s="20">
        <v>9</v>
      </c>
      <c r="D85" s="20">
        <v>8</v>
      </c>
      <c r="E85" s="21">
        <v>0.66669999999999996</v>
      </c>
      <c r="F85" s="20">
        <v>0.8</v>
      </c>
      <c r="G85" s="19">
        <v>9</v>
      </c>
      <c r="H85" s="20">
        <v>93</v>
      </c>
      <c r="I85" s="20">
        <v>0</v>
      </c>
      <c r="J85" s="23">
        <v>0</v>
      </c>
      <c r="K85" s="44">
        <f t="shared" si="1"/>
        <v>0</v>
      </c>
    </row>
    <row r="86" spans="1:11" x14ac:dyDescent="0.25">
      <c r="A86" s="102" t="s">
        <v>874</v>
      </c>
      <c r="B86" s="20">
        <v>9</v>
      </c>
      <c r="C86" s="20">
        <v>3</v>
      </c>
      <c r="D86" s="20">
        <v>4</v>
      </c>
      <c r="E86" s="21">
        <v>0.36359999999999998</v>
      </c>
      <c r="F86" s="20">
        <v>0.44</v>
      </c>
      <c r="G86" s="19">
        <v>41</v>
      </c>
      <c r="H86" s="20">
        <v>53</v>
      </c>
      <c r="I86" s="20">
        <v>2</v>
      </c>
      <c r="J86" s="23">
        <v>0</v>
      </c>
      <c r="K86" s="44">
        <f t="shared" si="1"/>
        <v>0.5</v>
      </c>
    </row>
    <row r="87" spans="1:11" x14ac:dyDescent="0.25">
      <c r="A87" s="102" t="s">
        <v>875</v>
      </c>
      <c r="B87" s="20">
        <v>9</v>
      </c>
      <c r="C87" s="20">
        <v>9</v>
      </c>
      <c r="D87" s="20">
        <v>7</v>
      </c>
      <c r="E87" s="21">
        <v>0.77780000000000005</v>
      </c>
      <c r="F87" s="20">
        <v>0.78</v>
      </c>
      <c r="G87" s="19">
        <v>22</v>
      </c>
      <c r="H87" s="20">
        <v>91</v>
      </c>
      <c r="I87" s="20">
        <v>5</v>
      </c>
      <c r="J87" s="23">
        <v>0</v>
      </c>
      <c r="K87" s="44">
        <f t="shared" si="1"/>
        <v>0.7142857142857143</v>
      </c>
    </row>
    <row r="88" spans="1:11" x14ac:dyDescent="0.25">
      <c r="A88" s="102" t="s">
        <v>876</v>
      </c>
      <c r="B88" s="20">
        <v>9</v>
      </c>
      <c r="C88" s="20">
        <v>9</v>
      </c>
      <c r="D88" s="20">
        <v>7</v>
      </c>
      <c r="E88" s="21">
        <v>0.77780000000000005</v>
      </c>
      <c r="F88" s="20">
        <v>0.78</v>
      </c>
      <c r="G88" s="19">
        <v>12</v>
      </c>
      <c r="H88" s="20">
        <v>61</v>
      </c>
      <c r="I88" s="20">
        <v>0</v>
      </c>
      <c r="J88" s="23">
        <v>0</v>
      </c>
      <c r="K88" s="44">
        <f t="shared" si="1"/>
        <v>0</v>
      </c>
    </row>
    <row r="89" spans="1:11" x14ac:dyDescent="0.25">
      <c r="A89" s="102" t="s">
        <v>877</v>
      </c>
      <c r="B89" s="20">
        <v>8</v>
      </c>
      <c r="C89" s="20">
        <v>8</v>
      </c>
      <c r="D89" s="20">
        <v>4</v>
      </c>
      <c r="E89" s="21">
        <v>0.5</v>
      </c>
      <c r="F89" s="20">
        <v>0.5</v>
      </c>
      <c r="G89" s="19">
        <v>6</v>
      </c>
      <c r="H89" s="20">
        <v>55</v>
      </c>
      <c r="I89" s="20">
        <v>0</v>
      </c>
      <c r="J89" s="23">
        <v>0</v>
      </c>
      <c r="K89" s="44">
        <f t="shared" si="1"/>
        <v>0</v>
      </c>
    </row>
    <row r="90" spans="1:11" x14ac:dyDescent="0.25">
      <c r="A90" s="102" t="s">
        <v>878</v>
      </c>
      <c r="B90" s="20">
        <v>8</v>
      </c>
      <c r="C90" s="20">
        <v>7</v>
      </c>
      <c r="D90" s="20">
        <v>6</v>
      </c>
      <c r="E90" s="21">
        <v>0.75</v>
      </c>
      <c r="F90" s="20">
        <v>0.75</v>
      </c>
      <c r="G90" s="19">
        <v>16</v>
      </c>
      <c r="H90" s="20">
        <v>48</v>
      </c>
      <c r="I90" s="20">
        <v>1</v>
      </c>
      <c r="J90" s="23">
        <v>0</v>
      </c>
      <c r="K90" s="44">
        <f t="shared" si="1"/>
        <v>0.16666666666666666</v>
      </c>
    </row>
    <row r="91" spans="1:11" x14ac:dyDescent="0.25">
      <c r="A91" s="102" t="s">
        <v>879</v>
      </c>
      <c r="B91" s="20">
        <v>7</v>
      </c>
      <c r="C91" s="20">
        <v>7</v>
      </c>
      <c r="D91" s="20">
        <v>7</v>
      </c>
      <c r="E91" s="21">
        <v>0.875</v>
      </c>
      <c r="F91" s="20">
        <v>1</v>
      </c>
      <c r="G91" s="19">
        <v>231</v>
      </c>
      <c r="H91" s="20">
        <v>284</v>
      </c>
      <c r="I91" s="20">
        <v>12</v>
      </c>
      <c r="J91" s="23">
        <v>0</v>
      </c>
      <c r="K91" s="44">
        <f t="shared" si="1"/>
        <v>1.7142857142857142</v>
      </c>
    </row>
    <row r="92" spans="1:11" x14ac:dyDescent="0.25">
      <c r="A92" s="102" t="s">
        <v>880</v>
      </c>
      <c r="B92" s="20">
        <v>7</v>
      </c>
      <c r="C92" s="20">
        <v>7</v>
      </c>
      <c r="D92" s="20">
        <v>8</v>
      </c>
      <c r="E92" s="21">
        <v>0.66669999999999996</v>
      </c>
      <c r="F92" s="20">
        <v>1.1399999999999999</v>
      </c>
      <c r="G92" s="19">
        <v>15</v>
      </c>
      <c r="H92" s="20">
        <v>90</v>
      </c>
      <c r="I92" s="20">
        <v>0</v>
      </c>
      <c r="J92" s="23">
        <v>0</v>
      </c>
      <c r="K92" s="44">
        <f t="shared" si="1"/>
        <v>0</v>
      </c>
    </row>
    <row r="93" spans="1:11" x14ac:dyDescent="0.25">
      <c r="A93" s="102" t="s">
        <v>881</v>
      </c>
      <c r="B93" s="20">
        <v>7</v>
      </c>
      <c r="C93" s="20">
        <v>6</v>
      </c>
      <c r="D93" s="20">
        <v>2</v>
      </c>
      <c r="E93" s="21">
        <v>0.25</v>
      </c>
      <c r="F93" s="20">
        <v>0.28999999999999998</v>
      </c>
      <c r="G93" s="19">
        <v>5</v>
      </c>
      <c r="H93" s="20">
        <v>45</v>
      </c>
      <c r="I93" s="20">
        <v>2</v>
      </c>
      <c r="J93" s="23">
        <v>0</v>
      </c>
      <c r="K93" s="44">
        <f t="shared" si="1"/>
        <v>1</v>
      </c>
    </row>
    <row r="94" spans="1:11" x14ac:dyDescent="0.25">
      <c r="A94" s="102" t="s">
        <v>882</v>
      </c>
      <c r="B94" s="20">
        <v>7</v>
      </c>
      <c r="C94" s="20">
        <v>7</v>
      </c>
      <c r="D94" s="20">
        <v>4</v>
      </c>
      <c r="E94" s="21">
        <v>0.30769999999999997</v>
      </c>
      <c r="F94" s="20">
        <v>0.56999999999999995</v>
      </c>
      <c r="G94" s="19">
        <v>10</v>
      </c>
      <c r="H94" s="20">
        <v>84</v>
      </c>
      <c r="I94" s="20">
        <v>4</v>
      </c>
      <c r="J94" s="23">
        <v>0</v>
      </c>
      <c r="K94" s="44">
        <f t="shared" si="1"/>
        <v>1</v>
      </c>
    </row>
    <row r="95" spans="1:11" x14ac:dyDescent="0.25">
      <c r="A95" s="102" t="s">
        <v>883</v>
      </c>
      <c r="B95" s="20">
        <v>6</v>
      </c>
      <c r="C95" s="20">
        <v>6</v>
      </c>
      <c r="D95" s="20">
        <v>2</v>
      </c>
      <c r="E95" s="21">
        <v>0.33329999999999999</v>
      </c>
      <c r="F95" s="20">
        <v>0.33</v>
      </c>
      <c r="G95" s="19">
        <v>17</v>
      </c>
      <c r="H95" s="20">
        <v>33</v>
      </c>
      <c r="I95" s="20">
        <v>0</v>
      </c>
      <c r="J95" s="23">
        <v>0</v>
      </c>
      <c r="K95" s="44">
        <f t="shared" si="1"/>
        <v>0</v>
      </c>
    </row>
    <row r="96" spans="1:11" x14ac:dyDescent="0.25">
      <c r="A96" s="102" t="s">
        <v>884</v>
      </c>
      <c r="B96" s="20">
        <v>6</v>
      </c>
      <c r="C96" s="20">
        <v>6</v>
      </c>
      <c r="D96" s="20">
        <v>5</v>
      </c>
      <c r="E96" s="21">
        <v>0.625</v>
      </c>
      <c r="F96" s="20">
        <v>0.83</v>
      </c>
      <c r="G96" s="19">
        <v>12</v>
      </c>
      <c r="H96" s="20">
        <v>54</v>
      </c>
      <c r="I96" s="20">
        <v>0</v>
      </c>
      <c r="J96" s="23">
        <v>0</v>
      </c>
      <c r="K96" s="44">
        <f t="shared" si="1"/>
        <v>0</v>
      </c>
    </row>
    <row r="97" spans="1:11" x14ac:dyDescent="0.25">
      <c r="A97" s="102" t="s">
        <v>885</v>
      </c>
      <c r="B97" s="20">
        <v>6</v>
      </c>
      <c r="C97" s="20">
        <v>6</v>
      </c>
      <c r="D97" s="20">
        <v>3</v>
      </c>
      <c r="E97" s="21">
        <v>0.5</v>
      </c>
      <c r="F97" s="20">
        <v>0.5</v>
      </c>
      <c r="G97" s="19">
        <v>17</v>
      </c>
      <c r="H97" s="20">
        <v>44</v>
      </c>
      <c r="I97" s="20">
        <v>1</v>
      </c>
      <c r="J97" s="23">
        <v>0</v>
      </c>
      <c r="K97" s="44">
        <f t="shared" si="1"/>
        <v>0.33333333333333331</v>
      </c>
    </row>
    <row r="98" spans="1:11" x14ac:dyDescent="0.25">
      <c r="A98" s="102" t="s">
        <v>886</v>
      </c>
      <c r="B98" s="20">
        <v>6</v>
      </c>
      <c r="C98" s="20">
        <v>6</v>
      </c>
      <c r="D98" s="20">
        <v>3</v>
      </c>
      <c r="E98" s="21">
        <v>0.375</v>
      </c>
      <c r="F98" s="20">
        <v>0.5</v>
      </c>
      <c r="G98" s="19">
        <v>31</v>
      </c>
      <c r="H98" s="20">
        <v>49</v>
      </c>
      <c r="I98" s="20">
        <v>0</v>
      </c>
      <c r="J98" s="23">
        <v>0</v>
      </c>
      <c r="K98" s="44">
        <f t="shared" si="1"/>
        <v>0</v>
      </c>
    </row>
    <row r="99" spans="1:11" x14ac:dyDescent="0.25">
      <c r="A99" s="102" t="s">
        <v>887</v>
      </c>
      <c r="B99" s="20">
        <v>6</v>
      </c>
      <c r="C99" s="20">
        <v>6</v>
      </c>
      <c r="D99" s="20">
        <v>1</v>
      </c>
      <c r="E99" s="21">
        <v>0.16669999999999999</v>
      </c>
      <c r="F99" s="20">
        <v>0.17</v>
      </c>
      <c r="G99" s="19">
        <v>1</v>
      </c>
      <c r="H99" s="20">
        <v>37</v>
      </c>
      <c r="I99" s="20">
        <v>0</v>
      </c>
      <c r="J99" s="23">
        <v>0</v>
      </c>
      <c r="K99" s="44">
        <f t="shared" si="1"/>
        <v>0</v>
      </c>
    </row>
    <row r="100" spans="1:11" x14ac:dyDescent="0.25">
      <c r="A100" s="102" t="s">
        <v>888</v>
      </c>
      <c r="B100" s="20">
        <v>5</v>
      </c>
      <c r="C100" s="20">
        <v>5</v>
      </c>
      <c r="D100" s="20">
        <v>6</v>
      </c>
      <c r="E100" s="21">
        <v>0.66669999999999996</v>
      </c>
      <c r="F100" s="20">
        <v>1.2</v>
      </c>
      <c r="G100" s="19">
        <v>24</v>
      </c>
      <c r="H100" s="20">
        <v>44</v>
      </c>
      <c r="I100" s="20">
        <v>1</v>
      </c>
      <c r="J100" s="23">
        <v>0</v>
      </c>
      <c r="K100" s="44">
        <f t="shared" si="1"/>
        <v>0.16666666666666666</v>
      </c>
    </row>
    <row r="101" spans="1:11" x14ac:dyDescent="0.25">
      <c r="A101" s="102" t="s">
        <v>889</v>
      </c>
      <c r="B101" s="20">
        <v>5</v>
      </c>
      <c r="C101" s="20">
        <v>3</v>
      </c>
      <c r="D101" s="20">
        <v>0</v>
      </c>
      <c r="E101" s="21">
        <v>0</v>
      </c>
      <c r="F101" s="20">
        <v>0</v>
      </c>
      <c r="G101" s="19">
        <v>7</v>
      </c>
      <c r="H101" s="20">
        <v>24</v>
      </c>
      <c r="I101" s="20">
        <v>0</v>
      </c>
      <c r="J101" s="23">
        <v>0</v>
      </c>
      <c r="K101" s="44">
        <f t="shared" si="1"/>
        <v>0</v>
      </c>
    </row>
    <row r="102" spans="1:11" x14ac:dyDescent="0.25">
      <c r="A102" s="102" t="s">
        <v>890</v>
      </c>
      <c r="B102" s="20">
        <v>5</v>
      </c>
      <c r="C102" s="20">
        <v>4</v>
      </c>
      <c r="D102" s="20">
        <v>4</v>
      </c>
      <c r="E102" s="21">
        <v>0.57140000000000002</v>
      </c>
      <c r="F102" s="20">
        <v>0.8</v>
      </c>
      <c r="G102" s="19">
        <v>16</v>
      </c>
      <c r="H102" s="20">
        <v>44</v>
      </c>
      <c r="I102" s="20">
        <v>0</v>
      </c>
      <c r="J102" s="23">
        <v>0</v>
      </c>
      <c r="K102" s="44">
        <f t="shared" si="1"/>
        <v>0</v>
      </c>
    </row>
    <row r="103" spans="1:11" x14ac:dyDescent="0.25">
      <c r="A103" s="102" t="s">
        <v>891</v>
      </c>
      <c r="B103" s="20">
        <v>5</v>
      </c>
      <c r="C103" s="20">
        <v>5</v>
      </c>
      <c r="D103" s="20">
        <v>6</v>
      </c>
      <c r="E103" s="21">
        <v>1</v>
      </c>
      <c r="F103" s="20">
        <v>1.2</v>
      </c>
      <c r="G103" s="19">
        <v>16</v>
      </c>
      <c r="H103" s="20">
        <v>43</v>
      </c>
      <c r="I103" s="20">
        <v>1</v>
      </c>
      <c r="J103" s="23">
        <v>0</v>
      </c>
      <c r="K103" s="44">
        <f t="shared" si="1"/>
        <v>0.16666666666666666</v>
      </c>
    </row>
    <row r="104" spans="1:11" x14ac:dyDescent="0.25">
      <c r="A104" s="102" t="s">
        <v>892</v>
      </c>
      <c r="B104" s="20">
        <v>5</v>
      </c>
      <c r="C104" s="20">
        <v>5</v>
      </c>
      <c r="D104" s="20">
        <v>3</v>
      </c>
      <c r="E104" s="21">
        <v>0.375</v>
      </c>
      <c r="F104" s="20">
        <v>0.6</v>
      </c>
      <c r="G104" s="19">
        <v>10</v>
      </c>
      <c r="H104" s="20">
        <v>51</v>
      </c>
      <c r="I104" s="20">
        <v>3</v>
      </c>
      <c r="J104" s="23">
        <v>0</v>
      </c>
      <c r="K104" s="44">
        <f t="shared" si="1"/>
        <v>1</v>
      </c>
    </row>
    <row r="105" spans="1:11" x14ac:dyDescent="0.25">
      <c r="A105" s="102" t="s">
        <v>893</v>
      </c>
      <c r="B105" s="20">
        <v>5</v>
      </c>
      <c r="C105" s="20">
        <v>5</v>
      </c>
      <c r="D105" s="20">
        <v>3</v>
      </c>
      <c r="E105" s="21">
        <v>0.5</v>
      </c>
      <c r="F105" s="20">
        <v>0.6</v>
      </c>
      <c r="G105" s="19">
        <v>4</v>
      </c>
      <c r="H105" s="20">
        <v>45</v>
      </c>
      <c r="I105" s="20">
        <v>1</v>
      </c>
      <c r="J105" s="23">
        <v>0</v>
      </c>
      <c r="K105" s="44">
        <f t="shared" si="1"/>
        <v>0.33333333333333331</v>
      </c>
    </row>
    <row r="106" spans="1:11" x14ac:dyDescent="0.25">
      <c r="A106" s="102" t="s">
        <v>894</v>
      </c>
      <c r="B106" s="20">
        <v>4</v>
      </c>
      <c r="C106" s="20">
        <v>3</v>
      </c>
      <c r="D106" s="20">
        <v>5</v>
      </c>
      <c r="E106" s="21">
        <v>0.83330000000000004</v>
      </c>
      <c r="F106" s="20">
        <v>1.25</v>
      </c>
      <c r="G106" s="19">
        <v>23</v>
      </c>
      <c r="H106" s="20">
        <v>51</v>
      </c>
      <c r="I106" s="20">
        <v>5</v>
      </c>
      <c r="J106" s="23">
        <v>0</v>
      </c>
      <c r="K106" s="44">
        <f t="shared" si="1"/>
        <v>1</v>
      </c>
    </row>
    <row r="107" spans="1:11" x14ac:dyDescent="0.25">
      <c r="A107" s="102" t="s">
        <v>895</v>
      </c>
      <c r="B107" s="20">
        <v>4</v>
      </c>
      <c r="C107" s="20">
        <v>3</v>
      </c>
      <c r="D107" s="20">
        <v>2</v>
      </c>
      <c r="E107" s="21">
        <v>0.4</v>
      </c>
      <c r="F107" s="20">
        <v>0.5</v>
      </c>
      <c r="G107" s="19">
        <v>4</v>
      </c>
      <c r="H107" s="20">
        <v>29</v>
      </c>
      <c r="I107" s="20">
        <v>0</v>
      </c>
      <c r="J107" s="23">
        <v>0</v>
      </c>
      <c r="K107" s="44">
        <f t="shared" si="1"/>
        <v>0</v>
      </c>
    </row>
    <row r="108" spans="1:11" x14ac:dyDescent="0.25">
      <c r="A108" s="102" t="s">
        <v>896</v>
      </c>
      <c r="B108" s="20">
        <v>4</v>
      </c>
      <c r="C108" s="20">
        <v>3</v>
      </c>
      <c r="D108" s="20">
        <v>2</v>
      </c>
      <c r="E108" s="21">
        <v>0.33329999999999999</v>
      </c>
      <c r="F108" s="20">
        <v>0.5</v>
      </c>
      <c r="G108" s="19">
        <v>4</v>
      </c>
      <c r="H108" s="20">
        <v>31</v>
      </c>
      <c r="I108" s="20">
        <v>0</v>
      </c>
      <c r="J108" s="23">
        <v>0</v>
      </c>
      <c r="K108" s="44">
        <f t="shared" si="1"/>
        <v>0</v>
      </c>
    </row>
    <row r="109" spans="1:11" x14ac:dyDescent="0.25">
      <c r="A109" s="102" t="s">
        <v>897</v>
      </c>
      <c r="B109" s="20">
        <v>4</v>
      </c>
      <c r="C109" s="20">
        <v>4</v>
      </c>
      <c r="D109" s="20">
        <v>1</v>
      </c>
      <c r="E109" s="21">
        <v>0.25</v>
      </c>
      <c r="F109" s="20">
        <v>0.25</v>
      </c>
      <c r="G109" s="19">
        <v>5</v>
      </c>
      <c r="H109" s="20">
        <v>24</v>
      </c>
      <c r="I109" s="20">
        <v>0</v>
      </c>
      <c r="J109" s="23">
        <v>0</v>
      </c>
      <c r="K109" s="44">
        <f t="shared" si="1"/>
        <v>0</v>
      </c>
    </row>
    <row r="110" spans="1:11" x14ac:dyDescent="0.25">
      <c r="A110" s="102" t="s">
        <v>898</v>
      </c>
      <c r="B110" s="20">
        <v>4</v>
      </c>
      <c r="C110" s="20">
        <v>4</v>
      </c>
      <c r="D110" s="20">
        <v>4</v>
      </c>
      <c r="E110" s="21">
        <v>1</v>
      </c>
      <c r="F110" s="20">
        <v>1</v>
      </c>
      <c r="G110" s="19">
        <v>27</v>
      </c>
      <c r="H110" s="20">
        <v>26</v>
      </c>
      <c r="I110" s="20">
        <v>2</v>
      </c>
      <c r="J110" s="23">
        <v>0</v>
      </c>
      <c r="K110" s="44">
        <f t="shared" si="1"/>
        <v>0.5</v>
      </c>
    </row>
    <row r="111" spans="1:11" x14ac:dyDescent="0.25">
      <c r="A111" s="102" t="s">
        <v>899</v>
      </c>
      <c r="B111" s="20">
        <v>4</v>
      </c>
      <c r="C111" s="20">
        <v>2</v>
      </c>
      <c r="D111" s="20">
        <v>1</v>
      </c>
      <c r="E111" s="21">
        <v>0.25</v>
      </c>
      <c r="F111" s="20">
        <v>0.25</v>
      </c>
      <c r="G111" s="19">
        <v>4</v>
      </c>
      <c r="H111" s="20">
        <v>17</v>
      </c>
      <c r="I111" s="20">
        <v>0</v>
      </c>
      <c r="J111" s="23">
        <v>0</v>
      </c>
      <c r="K111" s="44">
        <f t="shared" si="1"/>
        <v>0</v>
      </c>
    </row>
    <row r="112" spans="1:11" x14ac:dyDescent="0.25">
      <c r="A112" s="102" t="s">
        <v>900</v>
      </c>
      <c r="B112" s="20">
        <v>4</v>
      </c>
      <c r="C112" s="20">
        <v>4</v>
      </c>
      <c r="D112" s="20">
        <v>4</v>
      </c>
      <c r="E112" s="21">
        <v>1</v>
      </c>
      <c r="F112" s="20">
        <v>1</v>
      </c>
      <c r="G112" s="19">
        <v>455</v>
      </c>
      <c r="H112" s="20">
        <v>375</v>
      </c>
      <c r="I112" s="20">
        <v>36</v>
      </c>
      <c r="J112" s="23">
        <v>0</v>
      </c>
      <c r="K112" s="44">
        <f t="shared" si="1"/>
        <v>9</v>
      </c>
    </row>
    <row r="113" spans="1:11" x14ac:dyDescent="0.25">
      <c r="A113" s="102" t="s">
        <v>901</v>
      </c>
      <c r="B113" s="20">
        <v>3</v>
      </c>
      <c r="C113" s="20">
        <v>3</v>
      </c>
      <c r="D113" s="20">
        <v>1</v>
      </c>
      <c r="E113" s="21">
        <v>0.33329999999999999</v>
      </c>
      <c r="F113" s="20">
        <v>0.33</v>
      </c>
      <c r="G113" s="19">
        <v>6</v>
      </c>
      <c r="H113" s="20">
        <v>18</v>
      </c>
      <c r="I113" s="20">
        <v>1</v>
      </c>
      <c r="J113" s="23">
        <v>0</v>
      </c>
      <c r="K113" s="44">
        <f t="shared" si="1"/>
        <v>1</v>
      </c>
    </row>
    <row r="114" spans="1:11" x14ac:dyDescent="0.25">
      <c r="A114" s="102" t="s">
        <v>902</v>
      </c>
      <c r="B114" s="20">
        <v>3</v>
      </c>
      <c r="C114" s="20">
        <v>3</v>
      </c>
      <c r="D114" s="20">
        <v>2</v>
      </c>
      <c r="E114" s="21">
        <v>0.4</v>
      </c>
      <c r="F114" s="20">
        <v>0.67</v>
      </c>
      <c r="G114" s="19">
        <v>14</v>
      </c>
      <c r="H114" s="20">
        <v>40</v>
      </c>
      <c r="I114" s="20">
        <v>0</v>
      </c>
      <c r="J114" s="23">
        <v>0</v>
      </c>
      <c r="K114" s="44">
        <f t="shared" si="1"/>
        <v>0</v>
      </c>
    </row>
    <row r="115" spans="1:11" x14ac:dyDescent="0.25">
      <c r="A115" s="102" t="s">
        <v>903</v>
      </c>
      <c r="B115" s="20">
        <v>3</v>
      </c>
      <c r="C115" s="20">
        <v>3</v>
      </c>
      <c r="D115" s="20">
        <v>2</v>
      </c>
      <c r="E115" s="21">
        <v>0.66669999999999996</v>
      </c>
      <c r="F115" s="20">
        <v>0.67</v>
      </c>
      <c r="G115" s="19">
        <v>2</v>
      </c>
      <c r="H115" s="20">
        <v>20</v>
      </c>
      <c r="I115" s="20">
        <v>0</v>
      </c>
      <c r="J115" s="23">
        <v>0</v>
      </c>
      <c r="K115" s="44">
        <f t="shared" si="1"/>
        <v>0</v>
      </c>
    </row>
    <row r="116" spans="1:11" x14ac:dyDescent="0.25">
      <c r="A116" s="102" t="s">
        <v>904</v>
      </c>
      <c r="B116" s="20">
        <v>3</v>
      </c>
      <c r="C116" s="20">
        <v>3</v>
      </c>
      <c r="D116" s="20">
        <v>2</v>
      </c>
      <c r="E116" s="21">
        <v>0.66669999999999996</v>
      </c>
      <c r="F116" s="20">
        <v>0.67</v>
      </c>
      <c r="G116" s="19">
        <v>1</v>
      </c>
      <c r="H116" s="20">
        <v>16</v>
      </c>
      <c r="I116" s="20">
        <v>1</v>
      </c>
      <c r="J116" s="23">
        <v>0</v>
      </c>
      <c r="K116" s="44">
        <f t="shared" si="1"/>
        <v>0.5</v>
      </c>
    </row>
    <row r="117" spans="1:11" x14ac:dyDescent="0.25">
      <c r="A117" s="102" t="s">
        <v>905</v>
      </c>
      <c r="B117" s="20">
        <v>3</v>
      </c>
      <c r="C117" s="20">
        <v>1</v>
      </c>
      <c r="D117" s="20">
        <v>0</v>
      </c>
      <c r="E117" s="21">
        <v>0</v>
      </c>
      <c r="F117" s="20">
        <v>0</v>
      </c>
      <c r="G117" s="19">
        <v>5</v>
      </c>
      <c r="H117" s="20">
        <v>15</v>
      </c>
      <c r="I117" s="20">
        <v>0</v>
      </c>
      <c r="J117" s="23">
        <v>0</v>
      </c>
      <c r="K117" s="44">
        <f t="shared" si="1"/>
        <v>0</v>
      </c>
    </row>
    <row r="118" spans="1:11" x14ac:dyDescent="0.25">
      <c r="A118" s="102" t="s">
        <v>906</v>
      </c>
      <c r="B118" s="20">
        <v>2</v>
      </c>
      <c r="C118" s="20">
        <v>1</v>
      </c>
      <c r="D118" s="20">
        <v>1</v>
      </c>
      <c r="E118" s="21">
        <v>0.125</v>
      </c>
      <c r="F118" s="20">
        <v>0.5</v>
      </c>
      <c r="G118" s="19">
        <v>23</v>
      </c>
      <c r="H118" s="20">
        <v>26</v>
      </c>
      <c r="I118" s="20">
        <v>0</v>
      </c>
      <c r="J118" s="23">
        <v>0</v>
      </c>
      <c r="K118" s="44">
        <f t="shared" si="1"/>
        <v>0</v>
      </c>
    </row>
    <row r="119" spans="1:11" x14ac:dyDescent="0.25">
      <c r="A119" s="102" t="s">
        <v>907</v>
      </c>
      <c r="B119" s="20">
        <v>2</v>
      </c>
      <c r="C119" s="20">
        <v>1</v>
      </c>
      <c r="D119" s="20">
        <v>0</v>
      </c>
      <c r="E119" s="21">
        <v>0</v>
      </c>
      <c r="F119" s="20">
        <v>0</v>
      </c>
      <c r="G119" s="19">
        <v>7</v>
      </c>
      <c r="H119" s="20">
        <v>7</v>
      </c>
      <c r="I119" s="20">
        <v>0</v>
      </c>
      <c r="J119" s="23">
        <v>0</v>
      </c>
      <c r="K119" s="44">
        <f t="shared" si="1"/>
        <v>0</v>
      </c>
    </row>
    <row r="120" spans="1:11" x14ac:dyDescent="0.25">
      <c r="A120" s="102" t="s">
        <v>908</v>
      </c>
      <c r="B120" s="20">
        <v>2</v>
      </c>
      <c r="C120" s="20">
        <v>0</v>
      </c>
      <c r="D120" s="20">
        <v>0</v>
      </c>
      <c r="E120" s="21">
        <v>0</v>
      </c>
      <c r="F120" s="20">
        <v>0</v>
      </c>
      <c r="G120" s="19">
        <v>2</v>
      </c>
      <c r="H120" s="20">
        <v>4</v>
      </c>
      <c r="I120" s="20">
        <v>0</v>
      </c>
      <c r="J120" s="23">
        <v>0</v>
      </c>
      <c r="K120" s="44">
        <f t="shared" si="1"/>
        <v>0</v>
      </c>
    </row>
    <row r="121" spans="1:11" x14ac:dyDescent="0.25">
      <c r="A121" s="102" t="s">
        <v>909</v>
      </c>
      <c r="B121" s="20">
        <v>2</v>
      </c>
      <c r="C121" s="20">
        <v>2</v>
      </c>
      <c r="D121" s="20">
        <v>3</v>
      </c>
      <c r="E121" s="21">
        <v>1</v>
      </c>
      <c r="F121" s="20">
        <v>1.5</v>
      </c>
      <c r="G121" s="19">
        <v>29</v>
      </c>
      <c r="H121" s="20">
        <v>18</v>
      </c>
      <c r="I121" s="20">
        <v>2</v>
      </c>
      <c r="J121" s="23">
        <v>0</v>
      </c>
      <c r="K121" s="44">
        <f t="shared" si="1"/>
        <v>0.66666666666666663</v>
      </c>
    </row>
    <row r="122" spans="1:11" x14ac:dyDescent="0.25">
      <c r="A122" s="102" t="s">
        <v>910</v>
      </c>
      <c r="B122" s="20">
        <v>2</v>
      </c>
      <c r="C122" s="20">
        <v>2</v>
      </c>
      <c r="D122" s="20">
        <v>1</v>
      </c>
      <c r="E122" s="21">
        <v>0.5</v>
      </c>
      <c r="F122" s="20">
        <v>0.5</v>
      </c>
      <c r="G122" s="19">
        <v>0</v>
      </c>
      <c r="H122" s="20">
        <v>12</v>
      </c>
      <c r="I122" s="20">
        <v>0</v>
      </c>
      <c r="J122" s="23">
        <v>0</v>
      </c>
      <c r="K122" s="44">
        <f t="shared" si="1"/>
        <v>0</v>
      </c>
    </row>
    <row r="123" spans="1:11" x14ac:dyDescent="0.25">
      <c r="A123" s="102" t="s">
        <v>911</v>
      </c>
      <c r="B123" s="20">
        <v>2</v>
      </c>
      <c r="C123" s="20">
        <v>2</v>
      </c>
      <c r="D123" s="20">
        <v>0</v>
      </c>
      <c r="E123" s="21">
        <v>0</v>
      </c>
      <c r="F123" s="20">
        <v>0</v>
      </c>
      <c r="G123" s="19">
        <v>0</v>
      </c>
      <c r="H123" s="20">
        <v>9</v>
      </c>
      <c r="I123" s="20">
        <v>0</v>
      </c>
      <c r="J123" s="23">
        <v>0</v>
      </c>
      <c r="K123" s="44">
        <f t="shared" si="1"/>
        <v>0</v>
      </c>
    </row>
    <row r="124" spans="1:11" x14ac:dyDescent="0.25">
      <c r="A124" s="102" t="s">
        <v>912</v>
      </c>
      <c r="B124" s="20">
        <v>2</v>
      </c>
      <c r="C124" s="20">
        <v>2</v>
      </c>
      <c r="D124" s="20">
        <v>2</v>
      </c>
      <c r="E124" s="21">
        <v>1</v>
      </c>
      <c r="F124" s="20">
        <v>1</v>
      </c>
      <c r="G124" s="19">
        <v>11</v>
      </c>
      <c r="H124" s="20">
        <v>18</v>
      </c>
      <c r="I124" s="20">
        <v>0</v>
      </c>
      <c r="J124" s="23">
        <v>0</v>
      </c>
      <c r="K124" s="44">
        <f t="shared" si="1"/>
        <v>0</v>
      </c>
    </row>
    <row r="125" spans="1:11" x14ac:dyDescent="0.25">
      <c r="A125" s="102" t="s">
        <v>913</v>
      </c>
      <c r="B125" s="20">
        <v>2</v>
      </c>
      <c r="C125" s="20">
        <v>2</v>
      </c>
      <c r="D125" s="20">
        <v>2</v>
      </c>
      <c r="E125" s="21">
        <v>0.66669999999999996</v>
      </c>
      <c r="F125" s="20">
        <v>1</v>
      </c>
      <c r="G125" s="19">
        <v>20</v>
      </c>
      <c r="H125" s="20">
        <v>21</v>
      </c>
      <c r="I125" s="20">
        <v>0</v>
      </c>
      <c r="J125" s="23">
        <v>0</v>
      </c>
      <c r="K125" s="44">
        <f t="shared" si="1"/>
        <v>0</v>
      </c>
    </row>
    <row r="126" spans="1:11" x14ac:dyDescent="0.25">
      <c r="A126" s="102" t="s">
        <v>914</v>
      </c>
      <c r="B126" s="20">
        <v>2</v>
      </c>
      <c r="C126" s="20">
        <v>2</v>
      </c>
      <c r="D126" s="20">
        <v>0</v>
      </c>
      <c r="E126" s="21">
        <v>0</v>
      </c>
      <c r="F126" s="20">
        <v>0</v>
      </c>
      <c r="G126" s="19">
        <v>0</v>
      </c>
      <c r="H126" s="20">
        <v>7</v>
      </c>
      <c r="I126" s="20">
        <v>0</v>
      </c>
      <c r="J126" s="23">
        <v>0</v>
      </c>
      <c r="K126" s="44">
        <f t="shared" si="1"/>
        <v>0</v>
      </c>
    </row>
    <row r="127" spans="1:11" x14ac:dyDescent="0.25">
      <c r="A127" s="102" t="s">
        <v>915</v>
      </c>
      <c r="B127" s="20">
        <v>2</v>
      </c>
      <c r="C127" s="20">
        <v>2</v>
      </c>
      <c r="D127" s="20">
        <v>2</v>
      </c>
      <c r="E127" s="21">
        <v>1</v>
      </c>
      <c r="F127" s="20">
        <v>1</v>
      </c>
      <c r="G127" s="19">
        <v>49</v>
      </c>
      <c r="H127" s="20">
        <v>25</v>
      </c>
      <c r="I127" s="20">
        <v>0</v>
      </c>
      <c r="J127" s="23">
        <v>0</v>
      </c>
      <c r="K127" s="44">
        <f t="shared" si="1"/>
        <v>0</v>
      </c>
    </row>
    <row r="128" spans="1:11" x14ac:dyDescent="0.25">
      <c r="A128" s="102" t="s">
        <v>916</v>
      </c>
      <c r="B128" s="20">
        <v>2</v>
      </c>
      <c r="C128" s="20">
        <v>1</v>
      </c>
      <c r="D128" s="20">
        <v>1</v>
      </c>
      <c r="E128" s="21">
        <v>0.5</v>
      </c>
      <c r="F128" s="20">
        <v>0.5</v>
      </c>
      <c r="G128" s="19">
        <v>1</v>
      </c>
      <c r="H128" s="20">
        <v>12</v>
      </c>
      <c r="I128" s="20">
        <v>0</v>
      </c>
      <c r="J128" s="23">
        <v>0</v>
      </c>
      <c r="K128" s="44">
        <f t="shared" si="1"/>
        <v>0</v>
      </c>
    </row>
    <row r="129" spans="1:11" x14ac:dyDescent="0.25">
      <c r="A129" s="102" t="s">
        <v>917</v>
      </c>
      <c r="B129" s="20">
        <v>2</v>
      </c>
      <c r="C129" s="20">
        <v>2</v>
      </c>
      <c r="D129" s="20">
        <v>0</v>
      </c>
      <c r="E129" s="21">
        <v>0</v>
      </c>
      <c r="F129" s="20">
        <v>0</v>
      </c>
      <c r="G129" s="19">
        <v>0</v>
      </c>
      <c r="H129" s="20">
        <v>8</v>
      </c>
      <c r="I129" s="20">
        <v>0</v>
      </c>
      <c r="J129" s="23">
        <v>0</v>
      </c>
      <c r="K129" s="44">
        <f t="shared" si="1"/>
        <v>0</v>
      </c>
    </row>
    <row r="130" spans="1:11" x14ac:dyDescent="0.25">
      <c r="A130" s="102" t="s">
        <v>918</v>
      </c>
      <c r="B130" s="20">
        <v>1</v>
      </c>
      <c r="C130" s="20">
        <v>1</v>
      </c>
      <c r="D130" s="20">
        <v>1</v>
      </c>
      <c r="E130" s="21">
        <v>1</v>
      </c>
      <c r="F130" s="20">
        <v>1</v>
      </c>
      <c r="G130" s="19">
        <v>11</v>
      </c>
      <c r="H130" s="20">
        <v>23</v>
      </c>
      <c r="I130" s="20">
        <v>0</v>
      </c>
      <c r="J130" s="23">
        <v>0</v>
      </c>
      <c r="K130" s="44">
        <f t="shared" si="1"/>
        <v>0</v>
      </c>
    </row>
    <row r="131" spans="1:11" x14ac:dyDescent="0.25">
      <c r="A131" s="102" t="s">
        <v>919</v>
      </c>
      <c r="B131" s="20">
        <v>1</v>
      </c>
      <c r="C131" s="20">
        <v>1</v>
      </c>
      <c r="D131" s="20">
        <v>0</v>
      </c>
      <c r="E131" s="21">
        <v>0</v>
      </c>
      <c r="F131" s="20">
        <v>0</v>
      </c>
      <c r="G131" s="19">
        <v>6</v>
      </c>
      <c r="H131" s="20">
        <v>6</v>
      </c>
      <c r="I131" s="20">
        <v>0</v>
      </c>
      <c r="J131" s="23">
        <v>0</v>
      </c>
      <c r="K131" s="44">
        <f t="shared" ref="K131:K159" si="2">IF(D131=0, 0, I131/D131)</f>
        <v>0</v>
      </c>
    </row>
    <row r="132" spans="1:11" x14ac:dyDescent="0.25">
      <c r="A132" s="102" t="s">
        <v>920</v>
      </c>
      <c r="B132" s="20">
        <v>1</v>
      </c>
      <c r="C132" s="20">
        <v>1</v>
      </c>
      <c r="D132" s="20">
        <v>1</v>
      </c>
      <c r="E132" s="21">
        <v>1</v>
      </c>
      <c r="F132" s="20">
        <v>1</v>
      </c>
      <c r="G132" s="19">
        <v>0</v>
      </c>
      <c r="H132" s="20">
        <v>6</v>
      </c>
      <c r="I132" s="20">
        <v>1</v>
      </c>
      <c r="J132" s="23">
        <v>0</v>
      </c>
      <c r="K132" s="44">
        <f t="shared" si="2"/>
        <v>1</v>
      </c>
    </row>
    <row r="133" spans="1:11" x14ac:dyDescent="0.25">
      <c r="A133" s="102" t="s">
        <v>921</v>
      </c>
      <c r="B133" s="20">
        <v>1</v>
      </c>
      <c r="C133" s="20">
        <v>1</v>
      </c>
      <c r="D133" s="20">
        <v>1</v>
      </c>
      <c r="E133" s="21">
        <v>1</v>
      </c>
      <c r="F133" s="20">
        <v>1</v>
      </c>
      <c r="G133" s="19">
        <v>20</v>
      </c>
      <c r="H133" s="20">
        <v>8</v>
      </c>
      <c r="I133" s="20">
        <v>0</v>
      </c>
      <c r="J133" s="23">
        <v>0</v>
      </c>
      <c r="K133" s="44">
        <f t="shared" si="2"/>
        <v>0</v>
      </c>
    </row>
    <row r="134" spans="1:11" x14ac:dyDescent="0.25">
      <c r="A134" s="102" t="s">
        <v>922</v>
      </c>
      <c r="B134" s="20">
        <v>1</v>
      </c>
      <c r="C134" s="20">
        <v>1</v>
      </c>
      <c r="D134" s="20">
        <v>0</v>
      </c>
      <c r="E134" s="21">
        <v>0</v>
      </c>
      <c r="F134" s="20">
        <v>0</v>
      </c>
      <c r="G134" s="19">
        <v>0</v>
      </c>
      <c r="H134" s="20">
        <v>4</v>
      </c>
      <c r="I134" s="20">
        <v>0</v>
      </c>
      <c r="J134" s="23">
        <v>0</v>
      </c>
      <c r="K134" s="44">
        <f t="shared" si="2"/>
        <v>0</v>
      </c>
    </row>
    <row r="135" spans="1:11" x14ac:dyDescent="0.25">
      <c r="A135" s="102" t="s">
        <v>923</v>
      </c>
      <c r="B135" s="20">
        <v>1</v>
      </c>
      <c r="C135" s="20">
        <v>1</v>
      </c>
      <c r="D135" s="20">
        <v>0</v>
      </c>
      <c r="E135" s="21">
        <v>0</v>
      </c>
      <c r="F135" s="20">
        <v>0</v>
      </c>
      <c r="G135" s="19">
        <v>0</v>
      </c>
      <c r="H135" s="20">
        <v>4</v>
      </c>
      <c r="I135" s="20">
        <v>0</v>
      </c>
      <c r="J135" s="23">
        <v>0</v>
      </c>
      <c r="K135" s="44">
        <f t="shared" si="2"/>
        <v>0</v>
      </c>
    </row>
    <row r="136" spans="1:11" x14ac:dyDescent="0.25">
      <c r="A136" s="102" t="s">
        <v>924</v>
      </c>
      <c r="B136" s="20">
        <v>1</v>
      </c>
      <c r="C136" s="20">
        <v>1</v>
      </c>
      <c r="D136" s="20">
        <v>0</v>
      </c>
      <c r="E136" s="21">
        <v>0</v>
      </c>
      <c r="F136" s="20">
        <v>0</v>
      </c>
      <c r="G136" s="19">
        <v>9</v>
      </c>
      <c r="H136" s="20">
        <v>6</v>
      </c>
      <c r="I136" s="20">
        <v>0</v>
      </c>
      <c r="J136" s="23">
        <v>0</v>
      </c>
      <c r="K136" s="44">
        <f t="shared" si="2"/>
        <v>0</v>
      </c>
    </row>
    <row r="137" spans="1:11" x14ac:dyDescent="0.25">
      <c r="A137" s="102" t="s">
        <v>925</v>
      </c>
      <c r="B137" s="20">
        <v>1</v>
      </c>
      <c r="C137" s="20">
        <v>1</v>
      </c>
      <c r="D137" s="20">
        <v>1</v>
      </c>
      <c r="E137" s="21">
        <v>1</v>
      </c>
      <c r="F137" s="20">
        <v>1</v>
      </c>
      <c r="G137" s="19">
        <v>50</v>
      </c>
      <c r="H137" s="20">
        <v>12</v>
      </c>
      <c r="I137" s="20">
        <v>0</v>
      </c>
      <c r="J137" s="23">
        <v>0</v>
      </c>
      <c r="K137" s="44">
        <f t="shared" si="2"/>
        <v>0</v>
      </c>
    </row>
    <row r="138" spans="1:11" x14ac:dyDescent="0.25">
      <c r="A138" s="102" t="s">
        <v>926</v>
      </c>
      <c r="B138" s="20">
        <v>1</v>
      </c>
      <c r="C138" s="20">
        <v>1</v>
      </c>
      <c r="D138" s="20">
        <v>0</v>
      </c>
      <c r="E138" s="21">
        <v>0</v>
      </c>
      <c r="F138" s="20">
        <v>0</v>
      </c>
      <c r="G138" s="19">
        <v>0</v>
      </c>
      <c r="H138" s="20">
        <v>3</v>
      </c>
      <c r="I138" s="20">
        <v>0</v>
      </c>
      <c r="J138" s="23">
        <v>0</v>
      </c>
      <c r="K138" s="44">
        <f t="shared" si="2"/>
        <v>0</v>
      </c>
    </row>
    <row r="139" spans="1:11" x14ac:dyDescent="0.25">
      <c r="A139" s="102" t="s">
        <v>927</v>
      </c>
      <c r="B139" s="20">
        <v>1</v>
      </c>
      <c r="C139" s="20">
        <v>1</v>
      </c>
      <c r="D139" s="20">
        <v>0</v>
      </c>
      <c r="E139" s="21">
        <v>0</v>
      </c>
      <c r="F139" s="20">
        <v>0</v>
      </c>
      <c r="G139" s="19">
        <v>0</v>
      </c>
      <c r="H139" s="20">
        <v>6</v>
      </c>
      <c r="I139" s="20">
        <v>0</v>
      </c>
      <c r="J139" s="23">
        <v>0</v>
      </c>
      <c r="K139" s="44">
        <f t="shared" si="2"/>
        <v>0</v>
      </c>
    </row>
    <row r="140" spans="1:11" x14ac:dyDescent="0.25">
      <c r="A140" s="102" t="s">
        <v>928</v>
      </c>
      <c r="B140" s="20">
        <v>1</v>
      </c>
      <c r="C140" s="20">
        <v>1</v>
      </c>
      <c r="D140" s="20">
        <v>0</v>
      </c>
      <c r="E140" s="21">
        <v>0</v>
      </c>
      <c r="F140" s="20">
        <v>0</v>
      </c>
      <c r="G140" s="19">
        <v>9</v>
      </c>
      <c r="H140" s="20">
        <v>6</v>
      </c>
      <c r="I140" s="20">
        <v>0</v>
      </c>
      <c r="J140" s="23">
        <v>0</v>
      </c>
      <c r="K140" s="44">
        <f t="shared" si="2"/>
        <v>0</v>
      </c>
    </row>
    <row r="141" spans="1:11" x14ac:dyDescent="0.25">
      <c r="A141" s="102" t="s">
        <v>929</v>
      </c>
      <c r="B141" s="20">
        <v>1</v>
      </c>
      <c r="C141" s="20">
        <v>1</v>
      </c>
      <c r="D141" s="20">
        <v>1</v>
      </c>
      <c r="E141" s="21">
        <v>1</v>
      </c>
      <c r="F141" s="20">
        <v>1</v>
      </c>
      <c r="G141" s="19">
        <v>0</v>
      </c>
      <c r="H141" s="20">
        <v>5</v>
      </c>
      <c r="I141" s="20">
        <v>0</v>
      </c>
      <c r="J141" s="23">
        <v>0</v>
      </c>
      <c r="K141" s="44">
        <f t="shared" si="2"/>
        <v>0</v>
      </c>
    </row>
    <row r="142" spans="1:11" x14ac:dyDescent="0.25">
      <c r="A142" s="102" t="s">
        <v>930</v>
      </c>
      <c r="B142" s="20">
        <v>1</v>
      </c>
      <c r="C142" s="20">
        <v>1</v>
      </c>
      <c r="D142" s="20">
        <v>1</v>
      </c>
      <c r="E142" s="21">
        <v>1</v>
      </c>
      <c r="F142" s="20">
        <v>1</v>
      </c>
      <c r="G142" s="19">
        <v>34</v>
      </c>
      <c r="H142" s="20">
        <v>6</v>
      </c>
      <c r="I142" s="20">
        <v>0</v>
      </c>
      <c r="J142" s="23">
        <v>0</v>
      </c>
      <c r="K142" s="44">
        <f t="shared" si="2"/>
        <v>0</v>
      </c>
    </row>
    <row r="143" spans="1:11" x14ac:dyDescent="0.25">
      <c r="A143" s="102" t="s">
        <v>931</v>
      </c>
      <c r="B143" s="20">
        <v>1</v>
      </c>
      <c r="C143" s="20">
        <v>1</v>
      </c>
      <c r="D143" s="20">
        <v>1</v>
      </c>
      <c r="E143" s="21">
        <v>1</v>
      </c>
      <c r="F143" s="20">
        <v>1</v>
      </c>
      <c r="G143" s="19">
        <v>68</v>
      </c>
      <c r="H143" s="20">
        <v>6</v>
      </c>
      <c r="I143" s="20">
        <v>0</v>
      </c>
      <c r="J143" s="23">
        <v>0</v>
      </c>
      <c r="K143" s="44">
        <f t="shared" si="2"/>
        <v>0</v>
      </c>
    </row>
    <row r="144" spans="1:11" x14ac:dyDescent="0.25">
      <c r="A144" s="102" t="s">
        <v>932</v>
      </c>
      <c r="B144" s="20">
        <v>1</v>
      </c>
      <c r="C144" s="20">
        <v>1</v>
      </c>
      <c r="D144" s="20">
        <v>0</v>
      </c>
      <c r="E144" s="21">
        <v>0</v>
      </c>
      <c r="F144" s="20">
        <v>0</v>
      </c>
      <c r="G144" s="19">
        <v>0</v>
      </c>
      <c r="H144" s="20">
        <v>6</v>
      </c>
      <c r="I144" s="20">
        <v>0</v>
      </c>
      <c r="J144" s="23">
        <v>0</v>
      </c>
      <c r="K144" s="44">
        <f t="shared" si="2"/>
        <v>0</v>
      </c>
    </row>
    <row r="145" spans="1:11" x14ac:dyDescent="0.25">
      <c r="A145" s="102" t="s">
        <v>933</v>
      </c>
      <c r="B145" s="20">
        <v>1</v>
      </c>
      <c r="C145" s="20">
        <v>1</v>
      </c>
      <c r="D145" s="20">
        <v>1</v>
      </c>
      <c r="E145" s="21">
        <v>1</v>
      </c>
      <c r="F145" s="20">
        <v>1</v>
      </c>
      <c r="G145" s="19">
        <v>121</v>
      </c>
      <c r="H145" s="20">
        <v>22</v>
      </c>
      <c r="I145" s="20">
        <v>0</v>
      </c>
      <c r="J145" s="23">
        <v>0</v>
      </c>
      <c r="K145" s="44">
        <f t="shared" si="2"/>
        <v>0</v>
      </c>
    </row>
    <row r="146" spans="1:11" x14ac:dyDescent="0.25">
      <c r="A146" s="102" t="s">
        <v>934</v>
      </c>
      <c r="B146" s="20">
        <v>1</v>
      </c>
      <c r="C146" s="20">
        <v>1</v>
      </c>
      <c r="D146" s="20">
        <v>1</v>
      </c>
      <c r="E146" s="21">
        <v>0.5</v>
      </c>
      <c r="F146" s="20">
        <v>1</v>
      </c>
      <c r="G146" s="19">
        <v>6</v>
      </c>
      <c r="H146" s="20">
        <v>12</v>
      </c>
      <c r="I146" s="20">
        <v>0</v>
      </c>
      <c r="J146" s="23">
        <v>0</v>
      </c>
      <c r="K146" s="44">
        <f t="shared" si="2"/>
        <v>0</v>
      </c>
    </row>
    <row r="147" spans="1:11" x14ac:dyDescent="0.25">
      <c r="A147" s="102" t="s">
        <v>935</v>
      </c>
      <c r="B147" s="20">
        <v>1</v>
      </c>
      <c r="C147" s="20">
        <v>1</v>
      </c>
      <c r="D147" s="20">
        <v>1</v>
      </c>
      <c r="E147" s="21">
        <v>1</v>
      </c>
      <c r="F147" s="20">
        <v>1</v>
      </c>
      <c r="G147" s="19">
        <v>16</v>
      </c>
      <c r="H147" s="20">
        <v>8</v>
      </c>
      <c r="I147" s="20">
        <v>0</v>
      </c>
      <c r="J147" s="23">
        <v>0</v>
      </c>
      <c r="K147" s="44">
        <f t="shared" si="2"/>
        <v>0</v>
      </c>
    </row>
    <row r="148" spans="1:11" x14ac:dyDescent="0.25">
      <c r="A148" s="102" t="s">
        <v>936</v>
      </c>
      <c r="B148" s="20">
        <v>1</v>
      </c>
      <c r="C148" s="20">
        <v>1</v>
      </c>
      <c r="D148" s="20">
        <v>0</v>
      </c>
      <c r="E148" s="21">
        <v>0</v>
      </c>
      <c r="F148" s="20">
        <v>0</v>
      </c>
      <c r="G148" s="19">
        <v>6</v>
      </c>
      <c r="H148" s="20">
        <v>7</v>
      </c>
      <c r="I148" s="20">
        <v>0</v>
      </c>
      <c r="J148" s="23">
        <v>0</v>
      </c>
      <c r="K148" s="44">
        <f t="shared" si="2"/>
        <v>0</v>
      </c>
    </row>
    <row r="149" spans="1:11" x14ac:dyDescent="0.25">
      <c r="A149" s="102" t="s">
        <v>937</v>
      </c>
      <c r="B149" s="20">
        <v>1</v>
      </c>
      <c r="C149" s="20">
        <v>1</v>
      </c>
      <c r="D149" s="20">
        <v>0</v>
      </c>
      <c r="E149" s="21">
        <v>0</v>
      </c>
      <c r="F149" s="20">
        <v>0</v>
      </c>
      <c r="G149" s="19">
        <v>2</v>
      </c>
      <c r="H149" s="20">
        <v>8</v>
      </c>
      <c r="I149" s="20">
        <v>0</v>
      </c>
      <c r="J149" s="23">
        <v>0</v>
      </c>
      <c r="K149" s="44">
        <f t="shared" si="2"/>
        <v>0</v>
      </c>
    </row>
    <row r="150" spans="1:11" x14ac:dyDescent="0.25">
      <c r="A150" s="102" t="s">
        <v>938</v>
      </c>
      <c r="B150" s="20">
        <v>1</v>
      </c>
      <c r="C150" s="20">
        <v>1</v>
      </c>
      <c r="D150" s="20">
        <v>0</v>
      </c>
      <c r="E150" s="21">
        <v>0</v>
      </c>
      <c r="F150" s="20">
        <v>0</v>
      </c>
      <c r="G150" s="19">
        <v>0</v>
      </c>
      <c r="H150" s="20">
        <v>3</v>
      </c>
      <c r="I150" s="20">
        <v>0</v>
      </c>
      <c r="J150" s="23">
        <v>0</v>
      </c>
      <c r="K150" s="44">
        <f t="shared" si="2"/>
        <v>0</v>
      </c>
    </row>
    <row r="151" spans="1:11" x14ac:dyDescent="0.25">
      <c r="A151" s="102" t="s">
        <v>939</v>
      </c>
      <c r="B151" s="20">
        <v>1</v>
      </c>
      <c r="C151" s="20">
        <v>1</v>
      </c>
      <c r="D151" s="20">
        <v>1</v>
      </c>
      <c r="E151" s="21">
        <v>1</v>
      </c>
      <c r="F151" s="20">
        <v>1</v>
      </c>
      <c r="G151" s="19">
        <v>94</v>
      </c>
      <c r="H151" s="20">
        <v>11</v>
      </c>
      <c r="I151" s="20">
        <v>0</v>
      </c>
      <c r="J151" s="23">
        <v>0</v>
      </c>
      <c r="K151" s="44">
        <f t="shared" si="2"/>
        <v>0</v>
      </c>
    </row>
    <row r="152" spans="1:11" x14ac:dyDescent="0.25">
      <c r="A152" s="102" t="s">
        <v>940</v>
      </c>
      <c r="B152" s="20">
        <v>1</v>
      </c>
      <c r="C152" s="20">
        <v>1</v>
      </c>
      <c r="D152" s="20">
        <v>1</v>
      </c>
      <c r="E152" s="21">
        <v>0.5</v>
      </c>
      <c r="F152" s="20">
        <v>1</v>
      </c>
      <c r="G152" s="19">
        <v>0</v>
      </c>
      <c r="H152" s="20">
        <v>9</v>
      </c>
      <c r="I152" s="20">
        <v>0</v>
      </c>
      <c r="J152" s="23">
        <v>0</v>
      </c>
      <c r="K152" s="44">
        <f t="shared" si="2"/>
        <v>0</v>
      </c>
    </row>
    <row r="153" spans="1:11" x14ac:dyDescent="0.25">
      <c r="A153" s="102" t="s">
        <v>941</v>
      </c>
      <c r="B153" s="20">
        <v>1</v>
      </c>
      <c r="C153" s="20">
        <v>1</v>
      </c>
      <c r="D153" s="20">
        <v>1</v>
      </c>
      <c r="E153" s="21">
        <v>1</v>
      </c>
      <c r="F153" s="20">
        <v>1</v>
      </c>
      <c r="G153" s="19">
        <v>1</v>
      </c>
      <c r="H153" s="20">
        <v>6</v>
      </c>
      <c r="I153" s="20">
        <v>1</v>
      </c>
      <c r="J153" s="23">
        <v>0</v>
      </c>
      <c r="K153" s="44">
        <f t="shared" si="2"/>
        <v>1</v>
      </c>
    </row>
    <row r="154" spans="1:11" x14ac:dyDescent="0.25">
      <c r="A154" s="102" t="s">
        <v>942</v>
      </c>
      <c r="B154" s="20">
        <v>1</v>
      </c>
      <c r="C154" s="20">
        <v>1</v>
      </c>
      <c r="D154" s="20">
        <v>1</v>
      </c>
      <c r="E154" s="21">
        <v>1</v>
      </c>
      <c r="F154" s="20">
        <v>1</v>
      </c>
      <c r="G154" s="19">
        <v>0</v>
      </c>
      <c r="H154" s="20">
        <v>4</v>
      </c>
      <c r="I154" s="20">
        <v>1</v>
      </c>
      <c r="J154" s="23">
        <v>0</v>
      </c>
      <c r="K154" s="44">
        <f t="shared" si="2"/>
        <v>1</v>
      </c>
    </row>
    <row r="155" spans="1:11" x14ac:dyDescent="0.25">
      <c r="A155" s="102" t="s">
        <v>943</v>
      </c>
      <c r="B155" s="20">
        <v>1</v>
      </c>
      <c r="C155" s="20">
        <v>1</v>
      </c>
      <c r="D155" s="20">
        <v>0</v>
      </c>
      <c r="E155" s="21">
        <v>0</v>
      </c>
      <c r="F155" s="20">
        <v>0</v>
      </c>
      <c r="G155" s="19">
        <v>0</v>
      </c>
      <c r="H155" s="20">
        <v>4</v>
      </c>
      <c r="I155" s="20">
        <v>0</v>
      </c>
      <c r="J155" s="23">
        <v>0</v>
      </c>
      <c r="K155" s="44">
        <f t="shared" si="2"/>
        <v>0</v>
      </c>
    </row>
    <row r="156" spans="1:11" x14ac:dyDescent="0.25">
      <c r="A156" s="102" t="s">
        <v>944</v>
      </c>
      <c r="B156" s="20">
        <v>1</v>
      </c>
      <c r="C156" s="20">
        <v>1</v>
      </c>
      <c r="D156" s="20">
        <v>1</v>
      </c>
      <c r="E156" s="21">
        <v>1</v>
      </c>
      <c r="F156" s="20">
        <v>1</v>
      </c>
      <c r="G156" s="19">
        <v>9</v>
      </c>
      <c r="H156" s="20">
        <v>11</v>
      </c>
      <c r="I156" s="20">
        <v>0</v>
      </c>
      <c r="J156" s="23">
        <v>0</v>
      </c>
      <c r="K156" s="44">
        <f t="shared" si="2"/>
        <v>0</v>
      </c>
    </row>
    <row r="157" spans="1:11" x14ac:dyDescent="0.25">
      <c r="A157" s="102" t="s">
        <v>945</v>
      </c>
      <c r="B157" s="20">
        <v>1</v>
      </c>
      <c r="C157" s="20">
        <v>1</v>
      </c>
      <c r="D157" s="20">
        <v>1</v>
      </c>
      <c r="E157" s="21">
        <v>1</v>
      </c>
      <c r="F157" s="20">
        <v>1</v>
      </c>
      <c r="G157" s="19">
        <v>9</v>
      </c>
      <c r="H157" s="20">
        <v>8</v>
      </c>
      <c r="I157" s="20">
        <v>1</v>
      </c>
      <c r="J157" s="23">
        <v>0</v>
      </c>
      <c r="K157" s="44">
        <f t="shared" si="2"/>
        <v>1</v>
      </c>
    </row>
    <row r="158" spans="1:11" x14ac:dyDescent="0.25">
      <c r="A158" s="102" t="s">
        <v>946</v>
      </c>
      <c r="B158" s="20">
        <v>0</v>
      </c>
      <c r="C158" s="20">
        <v>0</v>
      </c>
      <c r="D158" s="20">
        <v>0</v>
      </c>
      <c r="E158" s="21">
        <v>0</v>
      </c>
      <c r="F158" s="20">
        <v>0</v>
      </c>
      <c r="G158" s="19">
        <v>0</v>
      </c>
      <c r="H158" s="20">
        <v>2</v>
      </c>
      <c r="I158" s="20">
        <v>0</v>
      </c>
      <c r="J158" s="23">
        <v>0</v>
      </c>
      <c r="K158" s="44">
        <f t="shared" si="2"/>
        <v>0</v>
      </c>
    </row>
    <row r="159" spans="1:11" x14ac:dyDescent="0.25">
      <c r="A159" s="104" t="s">
        <v>947</v>
      </c>
      <c r="B159" s="83">
        <v>0</v>
      </c>
      <c r="C159" s="83">
        <v>0</v>
      </c>
      <c r="D159" s="83">
        <v>4</v>
      </c>
      <c r="E159" s="105">
        <v>1</v>
      </c>
      <c r="F159" s="83">
        <v>0</v>
      </c>
      <c r="G159" s="84">
        <v>0</v>
      </c>
      <c r="H159" s="83">
        <v>17</v>
      </c>
      <c r="I159" s="83">
        <v>4</v>
      </c>
      <c r="J159" s="86">
        <v>0</v>
      </c>
      <c r="K159" s="53">
        <f t="shared" si="2"/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1BE1-97EC-414D-A4AE-1A6FF8FA974C}">
  <dimension ref="A1:K8"/>
  <sheetViews>
    <sheetView topLeftCell="F1" workbookViewId="0">
      <selection activeCell="G16" sqref="G15:G16"/>
    </sheetView>
  </sheetViews>
  <sheetFormatPr defaultRowHeight="15" x14ac:dyDescent="0.25"/>
  <cols>
    <col min="3" max="3" width="11.42578125" customWidth="1"/>
    <col min="4" max="4" width="16.28515625" customWidth="1"/>
    <col min="5" max="5" width="16.5703125" customWidth="1"/>
    <col min="6" max="6" width="23.28515625" customWidth="1"/>
    <col min="7" max="7" width="29.42578125" customWidth="1"/>
    <col min="8" max="8" width="12.42578125" customWidth="1"/>
    <col min="9" max="9" width="11.7109375" customWidth="1"/>
    <col min="10" max="10" width="14.5703125" customWidth="1"/>
    <col min="11" max="11" width="44.85546875" customWidth="1"/>
  </cols>
  <sheetData>
    <row r="1" spans="1:11" ht="41.25" customHeight="1" x14ac:dyDescent="0.25">
      <c r="A1" s="103" t="s">
        <v>649</v>
      </c>
      <c r="B1" s="45" t="s">
        <v>27</v>
      </c>
      <c r="C1" s="45" t="s">
        <v>14</v>
      </c>
      <c r="D1" s="46" t="s">
        <v>15</v>
      </c>
      <c r="E1" s="46" t="s">
        <v>16</v>
      </c>
      <c r="F1" s="46" t="s">
        <v>0</v>
      </c>
      <c r="G1" s="106" t="s">
        <v>644</v>
      </c>
      <c r="H1" s="46" t="s">
        <v>4</v>
      </c>
      <c r="I1" s="103" t="s">
        <v>31</v>
      </c>
      <c r="J1" s="103" t="s">
        <v>6</v>
      </c>
      <c r="K1" s="47" t="s">
        <v>645</v>
      </c>
    </row>
    <row r="2" spans="1:11" x14ac:dyDescent="0.25">
      <c r="A2" s="17" t="s">
        <v>650</v>
      </c>
      <c r="B2" s="34">
        <v>38110</v>
      </c>
      <c r="C2" s="34">
        <v>36632</v>
      </c>
      <c r="D2" s="34">
        <v>21465</v>
      </c>
      <c r="E2" s="35">
        <v>0.40450000000000003</v>
      </c>
      <c r="F2" s="17">
        <v>0.56000000000000005</v>
      </c>
      <c r="G2" s="36">
        <v>10</v>
      </c>
      <c r="H2" s="34">
        <v>332760</v>
      </c>
      <c r="I2" s="37">
        <v>7998</v>
      </c>
      <c r="J2" s="24">
        <v>1245.56</v>
      </c>
      <c r="K2" s="44">
        <v>0.37260656883298393</v>
      </c>
    </row>
    <row r="3" spans="1:11" x14ac:dyDescent="0.25">
      <c r="A3" s="17" t="s">
        <v>651</v>
      </c>
      <c r="B3" s="34">
        <v>6907</v>
      </c>
      <c r="C3" s="34">
        <v>6242</v>
      </c>
      <c r="D3" s="34">
        <v>5084</v>
      </c>
      <c r="E3" s="35">
        <v>0.50949999999999995</v>
      </c>
      <c r="F3" s="17">
        <v>0.74</v>
      </c>
      <c r="G3" s="36">
        <v>15</v>
      </c>
      <c r="H3" s="34">
        <v>72078</v>
      </c>
      <c r="I3" s="37">
        <v>1941</v>
      </c>
      <c r="J3" s="24">
        <v>401.94</v>
      </c>
      <c r="K3" s="44">
        <v>0.38178599527930762</v>
      </c>
    </row>
    <row r="4" spans="1:11" x14ac:dyDescent="0.25">
      <c r="A4" s="17" t="s">
        <v>652</v>
      </c>
      <c r="B4" s="34">
        <v>5733</v>
      </c>
      <c r="C4" s="34">
        <v>4885</v>
      </c>
      <c r="D4" s="34">
        <v>4491</v>
      </c>
      <c r="E4" s="35">
        <v>0.55059999999999998</v>
      </c>
      <c r="F4" s="17">
        <v>0.78</v>
      </c>
      <c r="G4" s="36">
        <v>18</v>
      </c>
      <c r="H4" s="34">
        <v>60872</v>
      </c>
      <c r="I4" s="37">
        <v>2173</v>
      </c>
      <c r="J4" s="24">
        <v>282.94</v>
      </c>
      <c r="K4" s="44">
        <v>0.48385660209307502</v>
      </c>
    </row>
    <row r="5" spans="1:11" x14ac:dyDescent="0.25">
      <c r="A5" s="17" t="s">
        <v>653</v>
      </c>
      <c r="B5" s="34">
        <v>3486</v>
      </c>
      <c r="C5" s="34">
        <v>2976</v>
      </c>
      <c r="D5" s="34">
        <v>2723</v>
      </c>
      <c r="E5" s="35">
        <v>0.52959999999999996</v>
      </c>
      <c r="F5" s="17">
        <v>0.78</v>
      </c>
      <c r="G5" s="36">
        <v>18</v>
      </c>
      <c r="H5" s="34">
        <v>37335</v>
      </c>
      <c r="I5" s="37">
        <v>1450</v>
      </c>
      <c r="J5" s="24">
        <v>3033.79</v>
      </c>
      <c r="K5" s="44">
        <v>0.5325009181050312</v>
      </c>
    </row>
    <row r="6" spans="1:11" x14ac:dyDescent="0.25">
      <c r="A6" s="17" t="s">
        <v>654</v>
      </c>
      <c r="B6" s="34">
        <v>2880</v>
      </c>
      <c r="C6" s="34">
        <v>2508</v>
      </c>
      <c r="D6" s="34">
        <v>1505</v>
      </c>
      <c r="E6" s="35">
        <v>0.24640000000000001</v>
      </c>
      <c r="F6" s="17">
        <v>0.52</v>
      </c>
      <c r="G6" s="36">
        <v>3</v>
      </c>
      <c r="H6" s="34">
        <v>29507</v>
      </c>
      <c r="I6" s="17">
        <v>138</v>
      </c>
      <c r="J6" s="24">
        <v>0</v>
      </c>
      <c r="K6" s="44">
        <v>9.1694352159468445E-2</v>
      </c>
    </row>
    <row r="7" spans="1:11" x14ac:dyDescent="0.25">
      <c r="A7" s="17" t="s">
        <v>655</v>
      </c>
      <c r="B7" s="34">
        <v>2335</v>
      </c>
      <c r="C7" s="34">
        <v>1957</v>
      </c>
      <c r="D7" s="34">
        <v>1829</v>
      </c>
      <c r="E7" s="35">
        <v>0.54220000000000002</v>
      </c>
      <c r="F7" s="17">
        <v>0.78</v>
      </c>
      <c r="G7" s="36">
        <v>19</v>
      </c>
      <c r="H7" s="34">
        <v>25019</v>
      </c>
      <c r="I7" s="17">
        <v>899</v>
      </c>
      <c r="J7" s="24">
        <v>105.58</v>
      </c>
      <c r="K7" s="44">
        <v>0.49152542372881358</v>
      </c>
    </row>
    <row r="8" spans="1:11" x14ac:dyDescent="0.25">
      <c r="A8" s="48" t="s">
        <v>656</v>
      </c>
      <c r="B8" s="49">
        <v>1741</v>
      </c>
      <c r="C8" s="49">
        <v>1465</v>
      </c>
      <c r="D8" s="49">
        <v>1170</v>
      </c>
      <c r="E8" s="50">
        <v>0.33300000000000002</v>
      </c>
      <c r="F8" s="48">
        <v>0.6</v>
      </c>
      <c r="G8" s="107">
        <v>8</v>
      </c>
      <c r="H8" s="49">
        <v>18907</v>
      </c>
      <c r="I8" s="48">
        <v>251</v>
      </c>
      <c r="J8" s="52">
        <v>0</v>
      </c>
      <c r="K8" s="53">
        <v>0.21452991452991452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F3D5-7007-4A0A-A943-930EE2F39D13}">
  <dimension ref="A1:K133"/>
  <sheetViews>
    <sheetView topLeftCell="C1" workbookViewId="0">
      <selection activeCell="A2" sqref="A2:A133"/>
    </sheetView>
  </sheetViews>
  <sheetFormatPr defaultRowHeight="15" x14ac:dyDescent="0.25"/>
  <cols>
    <col min="1" max="1" width="41.85546875" customWidth="1"/>
    <col min="3" max="3" width="12.42578125" customWidth="1"/>
    <col min="4" max="4" width="19.140625" customWidth="1"/>
    <col min="5" max="5" width="18.7109375" customWidth="1"/>
    <col min="6" max="6" width="27.140625" customWidth="1"/>
    <col min="7" max="7" width="33.7109375" customWidth="1"/>
    <col min="8" max="8" width="13.7109375" customWidth="1"/>
    <col min="9" max="9" width="13" customWidth="1"/>
    <col min="10" max="10" width="15.7109375" customWidth="1"/>
    <col min="11" max="11" width="50.7109375" customWidth="1"/>
  </cols>
  <sheetData>
    <row r="1" spans="1:11" ht="63.75" customHeight="1" x14ac:dyDescent="0.25">
      <c r="A1" s="109" t="s">
        <v>657</v>
      </c>
      <c r="B1" s="110" t="s">
        <v>27</v>
      </c>
      <c r="C1" s="110" t="s">
        <v>14</v>
      </c>
      <c r="D1" s="111" t="s">
        <v>15</v>
      </c>
      <c r="E1" s="111" t="s">
        <v>16</v>
      </c>
      <c r="F1" s="111" t="s">
        <v>0</v>
      </c>
      <c r="G1" s="111" t="s">
        <v>644</v>
      </c>
      <c r="H1" s="110" t="s">
        <v>4</v>
      </c>
      <c r="I1" s="110" t="s">
        <v>31</v>
      </c>
      <c r="J1" s="110" t="s">
        <v>6</v>
      </c>
      <c r="K1" s="112" t="s">
        <v>645</v>
      </c>
    </row>
    <row r="2" spans="1:11" x14ac:dyDescent="0.25">
      <c r="A2" s="38" t="s">
        <v>658</v>
      </c>
      <c r="B2" s="39">
        <v>10602</v>
      </c>
      <c r="C2" s="39">
        <v>9296</v>
      </c>
      <c r="D2" s="39">
        <v>8873</v>
      </c>
      <c r="E2" s="40">
        <v>0.53910000000000002</v>
      </c>
      <c r="F2" s="38">
        <v>0.84</v>
      </c>
      <c r="G2" s="38">
        <v>18</v>
      </c>
      <c r="H2" s="39">
        <v>119132</v>
      </c>
      <c r="I2" s="41">
        <v>4068</v>
      </c>
      <c r="J2" s="42">
        <v>3507.9</v>
      </c>
      <c r="K2" s="108">
        <v>0.45846951425673393</v>
      </c>
    </row>
    <row r="3" spans="1:11" x14ac:dyDescent="0.25">
      <c r="A3" s="38" t="s">
        <v>659</v>
      </c>
      <c r="B3" s="39">
        <v>6887</v>
      </c>
      <c r="C3" s="39">
        <v>5906</v>
      </c>
      <c r="D3" s="39">
        <v>5706</v>
      </c>
      <c r="E3" s="40">
        <v>0.5151</v>
      </c>
      <c r="F3" s="38">
        <v>0.83</v>
      </c>
      <c r="G3" s="38">
        <v>17</v>
      </c>
      <c r="H3" s="39">
        <v>78287</v>
      </c>
      <c r="I3" s="41">
        <v>2667</v>
      </c>
      <c r="J3" s="42">
        <v>131.26</v>
      </c>
      <c r="K3" s="108">
        <v>0.46740273396424814</v>
      </c>
    </row>
    <row r="4" spans="1:11" x14ac:dyDescent="0.25">
      <c r="A4" s="38" t="s">
        <v>660</v>
      </c>
      <c r="B4" s="39">
        <v>6650</v>
      </c>
      <c r="C4" s="39">
        <v>5924</v>
      </c>
      <c r="D4" s="39">
        <v>5198</v>
      </c>
      <c r="E4" s="40">
        <v>0.50060000000000004</v>
      </c>
      <c r="F4" s="38">
        <v>0.78</v>
      </c>
      <c r="G4" s="38">
        <v>17</v>
      </c>
      <c r="H4" s="39">
        <v>73439</v>
      </c>
      <c r="I4" s="41">
        <v>2406</v>
      </c>
      <c r="J4" s="42">
        <v>3061.75</v>
      </c>
      <c r="K4" s="108">
        <v>0.46287033474413236</v>
      </c>
    </row>
    <row r="5" spans="1:11" x14ac:dyDescent="0.25">
      <c r="A5" s="38" t="s">
        <v>661</v>
      </c>
      <c r="B5" s="39">
        <v>6298</v>
      </c>
      <c r="C5" s="39">
        <v>5628</v>
      </c>
      <c r="D5" s="39">
        <v>5018</v>
      </c>
      <c r="E5" s="40">
        <v>0.51749999999999996</v>
      </c>
      <c r="F5" s="38">
        <v>0.8</v>
      </c>
      <c r="G5" s="38">
        <v>18</v>
      </c>
      <c r="H5" s="39">
        <v>69793</v>
      </c>
      <c r="I5" s="41">
        <v>2382</v>
      </c>
      <c r="J5" s="42">
        <v>3056.25</v>
      </c>
      <c r="K5" s="108">
        <v>0.47469111199681147</v>
      </c>
    </row>
    <row r="6" spans="1:11" x14ac:dyDescent="0.25">
      <c r="A6" s="38" t="s">
        <v>662</v>
      </c>
      <c r="B6" s="39">
        <v>6046</v>
      </c>
      <c r="C6" s="39">
        <v>5393</v>
      </c>
      <c r="D6" s="39">
        <v>4865</v>
      </c>
      <c r="E6" s="40">
        <v>0.51770000000000005</v>
      </c>
      <c r="F6" s="38">
        <v>0.8</v>
      </c>
      <c r="G6" s="38">
        <v>19</v>
      </c>
      <c r="H6" s="39">
        <v>68322</v>
      </c>
      <c r="I6" s="41">
        <v>2403</v>
      </c>
      <c r="J6" s="42">
        <v>3206</v>
      </c>
      <c r="K6" s="108">
        <v>0.49393627954779035</v>
      </c>
    </row>
    <row r="7" spans="1:11" x14ac:dyDescent="0.25">
      <c r="A7" s="38" t="s">
        <v>663</v>
      </c>
      <c r="B7" s="39">
        <v>5895</v>
      </c>
      <c r="C7" s="39">
        <v>5124</v>
      </c>
      <c r="D7" s="39">
        <v>4857</v>
      </c>
      <c r="E7" s="40">
        <v>0.54979999999999996</v>
      </c>
      <c r="F7" s="38">
        <v>0.82</v>
      </c>
      <c r="G7" s="38">
        <v>18</v>
      </c>
      <c r="H7" s="39">
        <v>66234</v>
      </c>
      <c r="I7" s="41">
        <v>2490</v>
      </c>
      <c r="J7" s="42">
        <v>2933.24</v>
      </c>
      <c r="K7" s="108">
        <v>0.51266213712168007</v>
      </c>
    </row>
    <row r="8" spans="1:11" x14ac:dyDescent="0.25">
      <c r="A8" s="38" t="s">
        <v>664</v>
      </c>
      <c r="B8" s="39">
        <v>5857</v>
      </c>
      <c r="C8" s="39">
        <v>5037</v>
      </c>
      <c r="D8" s="39">
        <v>4905</v>
      </c>
      <c r="E8" s="40">
        <v>0.52180000000000004</v>
      </c>
      <c r="F8" s="38">
        <v>0.84</v>
      </c>
      <c r="G8" s="38">
        <v>17</v>
      </c>
      <c r="H8" s="39">
        <v>67039</v>
      </c>
      <c r="I8" s="41">
        <v>2295</v>
      </c>
      <c r="J8" s="42">
        <v>77.58</v>
      </c>
      <c r="K8" s="108">
        <v>0.46788990825688076</v>
      </c>
    </row>
    <row r="9" spans="1:11" x14ac:dyDescent="0.25">
      <c r="A9" s="38" t="s">
        <v>665</v>
      </c>
      <c r="B9" s="39">
        <v>5729</v>
      </c>
      <c r="C9" s="39">
        <v>5097</v>
      </c>
      <c r="D9" s="39">
        <v>4539</v>
      </c>
      <c r="E9" s="40">
        <v>0.52629999999999999</v>
      </c>
      <c r="F9" s="38">
        <v>0.79</v>
      </c>
      <c r="G9" s="38">
        <v>18</v>
      </c>
      <c r="H9" s="39">
        <v>62868</v>
      </c>
      <c r="I9" s="41">
        <v>1970</v>
      </c>
      <c r="J9" s="42">
        <v>3066.27</v>
      </c>
      <c r="K9" s="108">
        <v>0.43401630315047368</v>
      </c>
    </row>
    <row r="10" spans="1:11" x14ac:dyDescent="0.25">
      <c r="A10" s="38" t="s">
        <v>666</v>
      </c>
      <c r="B10" s="39">
        <v>5619</v>
      </c>
      <c r="C10" s="39">
        <v>4874</v>
      </c>
      <c r="D10" s="39">
        <v>4222</v>
      </c>
      <c r="E10" s="40">
        <v>0.4884</v>
      </c>
      <c r="F10" s="38">
        <v>0.75</v>
      </c>
      <c r="G10" s="38">
        <v>17</v>
      </c>
      <c r="H10" s="39">
        <v>61226</v>
      </c>
      <c r="I10" s="41">
        <v>1998</v>
      </c>
      <c r="J10" s="42">
        <v>3020.07</v>
      </c>
      <c r="K10" s="108">
        <v>0.47323543344386548</v>
      </c>
    </row>
    <row r="11" spans="1:11" x14ac:dyDescent="0.25">
      <c r="A11" s="38" t="s">
        <v>667</v>
      </c>
      <c r="B11" s="39">
        <v>5600</v>
      </c>
      <c r="C11" s="39">
        <v>4974</v>
      </c>
      <c r="D11" s="39">
        <v>4284</v>
      </c>
      <c r="E11" s="40">
        <v>0.47460000000000002</v>
      </c>
      <c r="F11" s="38">
        <v>0.77</v>
      </c>
      <c r="G11" s="38">
        <v>17</v>
      </c>
      <c r="H11" s="39">
        <v>62094</v>
      </c>
      <c r="I11" s="41">
        <v>2048</v>
      </c>
      <c r="J11" s="42">
        <v>272.76</v>
      </c>
      <c r="K11" s="108">
        <v>0.47805788982259573</v>
      </c>
    </row>
    <row r="12" spans="1:11" x14ac:dyDescent="0.25">
      <c r="A12" s="38" t="s">
        <v>668</v>
      </c>
      <c r="B12" s="39">
        <v>5593</v>
      </c>
      <c r="C12" s="39">
        <v>4894</v>
      </c>
      <c r="D12" s="39">
        <v>4409</v>
      </c>
      <c r="E12" s="40">
        <v>0.4798</v>
      </c>
      <c r="F12" s="38">
        <v>0.79</v>
      </c>
      <c r="G12" s="38">
        <v>17</v>
      </c>
      <c r="H12" s="39">
        <v>62875</v>
      </c>
      <c r="I12" s="41">
        <v>2041</v>
      </c>
      <c r="J12" s="42">
        <v>3177.53</v>
      </c>
      <c r="K12" s="108">
        <v>0.46291676117033342</v>
      </c>
    </row>
    <row r="13" spans="1:11" x14ac:dyDescent="0.25">
      <c r="A13" s="38" t="s">
        <v>669</v>
      </c>
      <c r="B13" s="39">
        <v>5417</v>
      </c>
      <c r="C13" s="39">
        <v>4774</v>
      </c>
      <c r="D13" s="39">
        <v>4297</v>
      </c>
      <c r="E13" s="40">
        <v>0.51649999999999996</v>
      </c>
      <c r="F13" s="38">
        <v>0.79</v>
      </c>
      <c r="G13" s="38">
        <v>18</v>
      </c>
      <c r="H13" s="39">
        <v>60706</v>
      </c>
      <c r="I13" s="41">
        <v>2154</v>
      </c>
      <c r="J13" s="42">
        <v>440.59</v>
      </c>
      <c r="K13" s="108">
        <v>0.50127996276471953</v>
      </c>
    </row>
    <row r="14" spans="1:11" x14ac:dyDescent="0.25">
      <c r="A14" s="38" t="s">
        <v>670</v>
      </c>
      <c r="B14" s="39">
        <v>4862</v>
      </c>
      <c r="C14" s="39">
        <v>4200</v>
      </c>
      <c r="D14" s="39">
        <v>4034</v>
      </c>
      <c r="E14" s="40">
        <v>0.49940000000000001</v>
      </c>
      <c r="F14" s="38">
        <v>0.83</v>
      </c>
      <c r="G14" s="38">
        <v>17</v>
      </c>
      <c r="H14" s="39">
        <v>55594</v>
      </c>
      <c r="I14" s="41">
        <v>1488</v>
      </c>
      <c r="J14" s="42">
        <v>443.34</v>
      </c>
      <c r="K14" s="108">
        <v>0.36886465047099654</v>
      </c>
    </row>
    <row r="15" spans="1:11" x14ac:dyDescent="0.25">
      <c r="A15" s="38" t="s">
        <v>671</v>
      </c>
      <c r="B15" s="39">
        <v>4096</v>
      </c>
      <c r="C15" s="39">
        <v>3665</v>
      </c>
      <c r="D15" s="39">
        <v>3072</v>
      </c>
      <c r="E15" s="40">
        <v>0.49059999999999998</v>
      </c>
      <c r="F15" s="38">
        <v>0.75</v>
      </c>
      <c r="G15" s="38">
        <v>18</v>
      </c>
      <c r="H15" s="39">
        <v>45616</v>
      </c>
      <c r="I15" s="41">
        <v>1712</v>
      </c>
      <c r="J15" s="42">
        <v>144.25</v>
      </c>
      <c r="K15" s="108">
        <v>0.55729166666666663</v>
      </c>
    </row>
    <row r="16" spans="1:11" x14ac:dyDescent="0.25">
      <c r="A16" s="38" t="s">
        <v>672</v>
      </c>
      <c r="B16" s="39">
        <v>4085</v>
      </c>
      <c r="C16" s="39">
        <v>3629</v>
      </c>
      <c r="D16" s="39">
        <v>3173</v>
      </c>
      <c r="E16" s="40">
        <v>0.50619999999999998</v>
      </c>
      <c r="F16" s="38">
        <v>0.78</v>
      </c>
      <c r="G16" s="38">
        <v>17</v>
      </c>
      <c r="H16" s="39">
        <v>44520</v>
      </c>
      <c r="I16" s="41">
        <v>1383</v>
      </c>
      <c r="J16" s="42">
        <v>110.06</v>
      </c>
      <c r="K16" s="108">
        <v>0.43586511188150018</v>
      </c>
    </row>
    <row r="17" spans="1:11" x14ac:dyDescent="0.25">
      <c r="A17" s="38" t="s">
        <v>673</v>
      </c>
      <c r="B17" s="39">
        <v>4051</v>
      </c>
      <c r="C17" s="39">
        <v>3669</v>
      </c>
      <c r="D17" s="39">
        <v>2626</v>
      </c>
      <c r="E17" s="40">
        <v>0.39319999999999999</v>
      </c>
      <c r="F17" s="38">
        <v>0.65</v>
      </c>
      <c r="G17" s="38">
        <v>12</v>
      </c>
      <c r="H17" s="39">
        <v>42275</v>
      </c>
      <c r="I17" s="41">
        <v>1092</v>
      </c>
      <c r="J17" s="42">
        <v>2956.21</v>
      </c>
      <c r="K17" s="108">
        <v>0.41584158415841582</v>
      </c>
    </row>
    <row r="18" spans="1:11" x14ac:dyDescent="0.25">
      <c r="A18" s="38" t="s">
        <v>674</v>
      </c>
      <c r="B18" s="39">
        <v>3754</v>
      </c>
      <c r="C18" s="39">
        <v>3324</v>
      </c>
      <c r="D18" s="39">
        <v>2769</v>
      </c>
      <c r="E18" s="40">
        <v>0.45960000000000001</v>
      </c>
      <c r="F18" s="38">
        <v>0.74</v>
      </c>
      <c r="G18" s="38">
        <v>15</v>
      </c>
      <c r="H18" s="39">
        <v>41392</v>
      </c>
      <c r="I18" s="41">
        <v>1233</v>
      </c>
      <c r="J18" s="42">
        <v>197.93</v>
      </c>
      <c r="K18" s="108">
        <v>0.44528710725893822</v>
      </c>
    </row>
    <row r="19" spans="1:11" x14ac:dyDescent="0.25">
      <c r="A19" s="38" t="s">
        <v>675</v>
      </c>
      <c r="B19" s="39">
        <v>3668</v>
      </c>
      <c r="C19" s="39">
        <v>3174</v>
      </c>
      <c r="D19" s="39">
        <v>2924</v>
      </c>
      <c r="E19" s="40">
        <v>0.52890000000000004</v>
      </c>
      <c r="F19" s="38">
        <v>0.8</v>
      </c>
      <c r="G19" s="38">
        <v>20</v>
      </c>
      <c r="H19" s="39">
        <v>41786</v>
      </c>
      <c r="I19" s="41">
        <v>1637</v>
      </c>
      <c r="J19" s="42">
        <v>2986.92</v>
      </c>
      <c r="K19" s="108">
        <v>0.55984952120383036</v>
      </c>
    </row>
    <row r="20" spans="1:11" x14ac:dyDescent="0.25">
      <c r="A20" s="38" t="s">
        <v>676</v>
      </c>
      <c r="B20" s="39">
        <v>3274</v>
      </c>
      <c r="C20" s="39">
        <v>2851</v>
      </c>
      <c r="D20" s="39">
        <v>2444</v>
      </c>
      <c r="E20" s="40">
        <v>0.46229999999999999</v>
      </c>
      <c r="F20" s="38">
        <v>0.75</v>
      </c>
      <c r="G20" s="38">
        <v>17</v>
      </c>
      <c r="H20" s="39">
        <v>36522</v>
      </c>
      <c r="I20" s="41">
        <v>1151</v>
      </c>
      <c r="J20" s="42">
        <v>3077.49</v>
      </c>
      <c r="K20" s="108">
        <v>0.47094926350245497</v>
      </c>
    </row>
    <row r="21" spans="1:11" x14ac:dyDescent="0.25">
      <c r="A21" s="38" t="s">
        <v>677</v>
      </c>
      <c r="B21" s="39">
        <v>3141</v>
      </c>
      <c r="C21" s="39">
        <v>2793</v>
      </c>
      <c r="D21" s="39">
        <v>2385</v>
      </c>
      <c r="E21" s="40">
        <v>0.52559999999999996</v>
      </c>
      <c r="F21" s="38">
        <v>0.76</v>
      </c>
      <c r="G21" s="38">
        <v>17</v>
      </c>
      <c r="H21" s="39">
        <v>33833</v>
      </c>
      <c r="I21" s="41">
        <v>1041</v>
      </c>
      <c r="J21" s="42">
        <v>190.61</v>
      </c>
      <c r="K21" s="108">
        <v>0.43647798742138366</v>
      </c>
    </row>
    <row r="22" spans="1:11" x14ac:dyDescent="0.25">
      <c r="A22" s="38" t="s">
        <v>678</v>
      </c>
      <c r="B22" s="39">
        <v>3099</v>
      </c>
      <c r="C22" s="39">
        <v>2661</v>
      </c>
      <c r="D22" s="39">
        <v>2330</v>
      </c>
      <c r="E22" s="40">
        <v>0.49640000000000001</v>
      </c>
      <c r="F22" s="38">
        <v>0.75</v>
      </c>
      <c r="G22" s="38">
        <v>18</v>
      </c>
      <c r="H22" s="39">
        <v>33917</v>
      </c>
      <c r="I22" s="41">
        <v>1180</v>
      </c>
      <c r="J22" s="42">
        <v>2979.6</v>
      </c>
      <c r="K22" s="108">
        <v>0.50643776824034337</v>
      </c>
    </row>
    <row r="23" spans="1:11" x14ac:dyDescent="0.25">
      <c r="A23" s="38" t="s">
        <v>679</v>
      </c>
      <c r="B23" s="39">
        <v>2852</v>
      </c>
      <c r="C23" s="39">
        <v>2504</v>
      </c>
      <c r="D23" s="39">
        <v>2232</v>
      </c>
      <c r="E23" s="40">
        <v>0.52100000000000002</v>
      </c>
      <c r="F23" s="38">
        <v>0.78</v>
      </c>
      <c r="G23" s="38">
        <v>17</v>
      </c>
      <c r="H23" s="39">
        <v>31339</v>
      </c>
      <c r="I23" s="41">
        <v>1027</v>
      </c>
      <c r="J23" s="42">
        <v>211.49</v>
      </c>
      <c r="K23" s="108">
        <v>0.46012544802867383</v>
      </c>
    </row>
    <row r="24" spans="1:11" x14ac:dyDescent="0.25">
      <c r="A24" s="38" t="s">
        <v>680</v>
      </c>
      <c r="B24" s="39">
        <v>2795</v>
      </c>
      <c r="C24" s="39">
        <v>2441</v>
      </c>
      <c r="D24" s="39">
        <v>2175</v>
      </c>
      <c r="E24" s="40">
        <v>0.46379999999999999</v>
      </c>
      <c r="F24" s="38">
        <v>0.78</v>
      </c>
      <c r="G24" s="38">
        <v>16</v>
      </c>
      <c r="H24" s="39">
        <v>31401</v>
      </c>
      <c r="I24" s="41">
        <v>1060</v>
      </c>
      <c r="J24" s="42">
        <v>2986.92</v>
      </c>
      <c r="K24" s="108">
        <v>0.48735632183908045</v>
      </c>
    </row>
    <row r="25" spans="1:11" x14ac:dyDescent="0.25">
      <c r="A25" s="38" t="s">
        <v>681</v>
      </c>
      <c r="B25" s="39">
        <v>2572</v>
      </c>
      <c r="C25" s="39">
        <v>2309</v>
      </c>
      <c r="D25" s="39">
        <v>2033</v>
      </c>
      <c r="E25" s="40">
        <v>0.52829999999999999</v>
      </c>
      <c r="F25" s="38">
        <v>0.79</v>
      </c>
      <c r="G25" s="38">
        <v>21</v>
      </c>
      <c r="H25" s="39">
        <v>30074</v>
      </c>
      <c r="I25" s="41">
        <v>1209</v>
      </c>
      <c r="J25" s="42">
        <v>197.93</v>
      </c>
      <c r="K25" s="108">
        <v>0.59468765371372356</v>
      </c>
    </row>
    <row r="26" spans="1:11" x14ac:dyDescent="0.25">
      <c r="A26" s="38" t="s">
        <v>682</v>
      </c>
      <c r="B26" s="39">
        <v>2538</v>
      </c>
      <c r="C26" s="39">
        <v>2218</v>
      </c>
      <c r="D26" s="39">
        <v>1999</v>
      </c>
      <c r="E26" s="40">
        <v>0.52649999999999997</v>
      </c>
      <c r="F26" s="38">
        <v>0.79</v>
      </c>
      <c r="G26" s="38">
        <v>19</v>
      </c>
      <c r="H26" s="39">
        <v>28898</v>
      </c>
      <c r="I26" s="38">
        <v>994</v>
      </c>
      <c r="J26" s="42">
        <v>46.36</v>
      </c>
      <c r="K26" s="108">
        <v>0.49724862431215605</v>
      </c>
    </row>
    <row r="27" spans="1:11" x14ac:dyDescent="0.25">
      <c r="A27" s="38" t="s">
        <v>683</v>
      </c>
      <c r="B27" s="39">
        <v>2441</v>
      </c>
      <c r="C27" s="39">
        <v>2124</v>
      </c>
      <c r="D27" s="39">
        <v>1951</v>
      </c>
      <c r="E27" s="40">
        <v>0.48780000000000001</v>
      </c>
      <c r="F27" s="38">
        <v>0.8</v>
      </c>
      <c r="G27" s="38">
        <v>17</v>
      </c>
      <c r="H27" s="39">
        <v>27788</v>
      </c>
      <c r="I27" s="38">
        <v>938</v>
      </c>
      <c r="J27" s="42">
        <v>0</v>
      </c>
      <c r="K27" s="108">
        <v>0.48077908764736033</v>
      </c>
    </row>
    <row r="28" spans="1:11" x14ac:dyDescent="0.25">
      <c r="A28" s="38" t="s">
        <v>684</v>
      </c>
      <c r="B28" s="39">
        <v>2361</v>
      </c>
      <c r="C28" s="39">
        <v>2081</v>
      </c>
      <c r="D28" s="39">
        <v>1743</v>
      </c>
      <c r="E28" s="40">
        <v>0.46539999999999998</v>
      </c>
      <c r="F28" s="38">
        <v>0.74</v>
      </c>
      <c r="G28" s="38">
        <v>17</v>
      </c>
      <c r="H28" s="39">
        <v>26007</v>
      </c>
      <c r="I28" s="38">
        <v>872</v>
      </c>
      <c r="J28" s="42">
        <v>144.25</v>
      </c>
      <c r="K28" s="108">
        <v>0.50028686173264492</v>
      </c>
    </row>
    <row r="29" spans="1:11" x14ac:dyDescent="0.25">
      <c r="A29" s="38" t="s">
        <v>685</v>
      </c>
      <c r="B29" s="39">
        <v>2334</v>
      </c>
      <c r="C29" s="39">
        <v>2024</v>
      </c>
      <c r="D29" s="39">
        <v>1913</v>
      </c>
      <c r="E29" s="40">
        <v>0.55530000000000002</v>
      </c>
      <c r="F29" s="38">
        <v>0.82</v>
      </c>
      <c r="G29" s="38">
        <v>19</v>
      </c>
      <c r="H29" s="39">
        <v>26700</v>
      </c>
      <c r="I29" s="38">
        <v>971</v>
      </c>
      <c r="J29" s="42">
        <v>2811.96</v>
      </c>
      <c r="K29" s="108">
        <v>0.5075797177208573</v>
      </c>
    </row>
    <row r="30" spans="1:11" x14ac:dyDescent="0.25">
      <c r="A30" s="38" t="s">
        <v>686</v>
      </c>
      <c r="B30" s="39">
        <v>2159</v>
      </c>
      <c r="C30" s="39">
        <v>1878</v>
      </c>
      <c r="D30" s="39">
        <v>1589</v>
      </c>
      <c r="E30" s="40">
        <v>0.43070000000000003</v>
      </c>
      <c r="F30" s="38">
        <v>0.74</v>
      </c>
      <c r="G30" s="38">
        <v>15</v>
      </c>
      <c r="H30" s="39">
        <v>23827</v>
      </c>
      <c r="I30" s="38">
        <v>752</v>
      </c>
      <c r="J30" s="42">
        <v>2986.92</v>
      </c>
      <c r="K30" s="108">
        <v>0.47325361862806797</v>
      </c>
    </row>
    <row r="31" spans="1:11" x14ac:dyDescent="0.25">
      <c r="A31" s="38" t="s">
        <v>687</v>
      </c>
      <c r="B31" s="39">
        <v>2152</v>
      </c>
      <c r="C31" s="39">
        <v>1841</v>
      </c>
      <c r="D31" s="39">
        <v>1763</v>
      </c>
      <c r="E31" s="40">
        <v>0.49399999999999999</v>
      </c>
      <c r="F31" s="38">
        <v>0.82</v>
      </c>
      <c r="G31" s="38">
        <v>18</v>
      </c>
      <c r="H31" s="39">
        <v>24751</v>
      </c>
      <c r="I31" s="38">
        <v>729</v>
      </c>
      <c r="J31" s="42">
        <v>0</v>
      </c>
      <c r="K31" s="108">
        <v>0.41349971639251276</v>
      </c>
    </row>
    <row r="32" spans="1:11" x14ac:dyDescent="0.25">
      <c r="A32" s="38" t="s">
        <v>688</v>
      </c>
      <c r="B32" s="39">
        <v>2045</v>
      </c>
      <c r="C32" s="39">
        <v>1797</v>
      </c>
      <c r="D32" s="39">
        <v>1645</v>
      </c>
      <c r="E32" s="40">
        <v>0.56369999999999998</v>
      </c>
      <c r="F32" s="38">
        <v>0.8</v>
      </c>
      <c r="G32" s="38">
        <v>21</v>
      </c>
      <c r="H32" s="39">
        <v>23316</v>
      </c>
      <c r="I32" s="38">
        <v>913</v>
      </c>
      <c r="J32" s="42">
        <v>0</v>
      </c>
      <c r="K32" s="108">
        <v>0.55501519756838902</v>
      </c>
    </row>
    <row r="33" spans="1:11" x14ac:dyDescent="0.25">
      <c r="A33" s="38" t="s">
        <v>689</v>
      </c>
      <c r="B33" s="39">
        <v>1964</v>
      </c>
      <c r="C33" s="39">
        <v>1696</v>
      </c>
      <c r="D33" s="39">
        <v>1503</v>
      </c>
      <c r="E33" s="40">
        <v>0.51370000000000005</v>
      </c>
      <c r="F33" s="38">
        <v>0.77</v>
      </c>
      <c r="G33" s="38">
        <v>16</v>
      </c>
      <c r="H33" s="39">
        <v>21333</v>
      </c>
      <c r="I33" s="38">
        <v>693</v>
      </c>
      <c r="J33" s="42">
        <v>0</v>
      </c>
      <c r="K33" s="108">
        <v>0.46107784431137727</v>
      </c>
    </row>
    <row r="34" spans="1:11" x14ac:dyDescent="0.25">
      <c r="A34" s="38" t="s">
        <v>690</v>
      </c>
      <c r="B34" s="39">
        <v>1921</v>
      </c>
      <c r="C34" s="39">
        <v>1673</v>
      </c>
      <c r="D34" s="39">
        <v>1481</v>
      </c>
      <c r="E34" s="40">
        <v>0.51980000000000004</v>
      </c>
      <c r="F34" s="38">
        <v>0.77</v>
      </c>
      <c r="G34" s="38">
        <v>16</v>
      </c>
      <c r="H34" s="39">
        <v>21138</v>
      </c>
      <c r="I34" s="38">
        <v>801</v>
      </c>
      <c r="J34" s="42">
        <v>144.25</v>
      </c>
      <c r="K34" s="108">
        <v>0.54085077650236324</v>
      </c>
    </row>
    <row r="35" spans="1:11" x14ac:dyDescent="0.25">
      <c r="A35" s="38" t="s">
        <v>691</v>
      </c>
      <c r="B35" s="39">
        <v>1893</v>
      </c>
      <c r="C35" s="39">
        <v>1667</v>
      </c>
      <c r="D35" s="39">
        <v>1529</v>
      </c>
      <c r="E35" s="40">
        <v>0.4879</v>
      </c>
      <c r="F35" s="38">
        <v>0.81</v>
      </c>
      <c r="G35" s="38">
        <v>18</v>
      </c>
      <c r="H35" s="39">
        <v>22035</v>
      </c>
      <c r="I35" s="38">
        <v>754</v>
      </c>
      <c r="J35" s="42">
        <v>0</v>
      </c>
      <c r="K35" s="108">
        <v>0.49313276651406146</v>
      </c>
    </row>
    <row r="36" spans="1:11" x14ac:dyDescent="0.25">
      <c r="A36" s="38" t="s">
        <v>692</v>
      </c>
      <c r="B36" s="39">
        <v>1888</v>
      </c>
      <c r="C36" s="39">
        <v>1653</v>
      </c>
      <c r="D36" s="39">
        <v>1533</v>
      </c>
      <c r="E36" s="40">
        <v>0.4909</v>
      </c>
      <c r="F36" s="38">
        <v>0.81</v>
      </c>
      <c r="G36" s="38">
        <v>18</v>
      </c>
      <c r="H36" s="39">
        <v>21972</v>
      </c>
      <c r="I36" s="38">
        <v>785</v>
      </c>
      <c r="J36" s="42">
        <v>0</v>
      </c>
      <c r="K36" s="108">
        <v>0.51206784083496415</v>
      </c>
    </row>
    <row r="37" spans="1:11" x14ac:dyDescent="0.25">
      <c r="A37" s="38" t="s">
        <v>693</v>
      </c>
      <c r="B37" s="39">
        <v>1842</v>
      </c>
      <c r="C37" s="39">
        <v>1601</v>
      </c>
      <c r="D37" s="39">
        <v>1423</v>
      </c>
      <c r="E37" s="40">
        <v>0.4829</v>
      </c>
      <c r="F37" s="38">
        <v>0.77</v>
      </c>
      <c r="G37" s="38">
        <v>18</v>
      </c>
      <c r="H37" s="39">
        <v>20750</v>
      </c>
      <c r="I37" s="38">
        <v>651</v>
      </c>
      <c r="J37" s="42">
        <v>2956.21</v>
      </c>
      <c r="K37" s="108">
        <v>0.45748418833450455</v>
      </c>
    </row>
    <row r="38" spans="1:11" x14ac:dyDescent="0.25">
      <c r="A38" s="38" t="s">
        <v>694</v>
      </c>
      <c r="B38" s="39">
        <v>1808</v>
      </c>
      <c r="C38" s="39">
        <v>1572</v>
      </c>
      <c r="D38" s="39">
        <v>1392</v>
      </c>
      <c r="E38" s="40">
        <v>0.49270000000000003</v>
      </c>
      <c r="F38" s="38">
        <v>0.77</v>
      </c>
      <c r="G38" s="38">
        <v>17</v>
      </c>
      <c r="H38" s="39">
        <v>20675</v>
      </c>
      <c r="I38" s="38">
        <v>654</v>
      </c>
      <c r="J38" s="42">
        <v>100.04</v>
      </c>
      <c r="K38" s="108">
        <v>0.46982758620689657</v>
      </c>
    </row>
    <row r="39" spans="1:11" x14ac:dyDescent="0.25">
      <c r="A39" s="38" t="s">
        <v>695</v>
      </c>
      <c r="B39" s="39">
        <v>1785</v>
      </c>
      <c r="C39" s="39">
        <v>1533</v>
      </c>
      <c r="D39" s="39">
        <v>1280</v>
      </c>
      <c r="E39" s="40">
        <v>0.45929999999999999</v>
      </c>
      <c r="F39" s="38">
        <v>0.72</v>
      </c>
      <c r="G39" s="38">
        <v>17</v>
      </c>
      <c r="H39" s="39">
        <v>19378</v>
      </c>
      <c r="I39" s="38">
        <v>572</v>
      </c>
      <c r="J39" s="42">
        <v>0</v>
      </c>
      <c r="K39" s="108">
        <v>0.44687500000000002</v>
      </c>
    </row>
    <row r="40" spans="1:11" x14ac:dyDescent="0.25">
      <c r="A40" s="38" t="s">
        <v>696</v>
      </c>
      <c r="B40" s="39">
        <v>1762</v>
      </c>
      <c r="C40" s="39">
        <v>1530</v>
      </c>
      <c r="D40" s="39">
        <v>1444</v>
      </c>
      <c r="E40" s="40">
        <v>0.56059999999999999</v>
      </c>
      <c r="F40" s="38">
        <v>0.82</v>
      </c>
      <c r="G40" s="38">
        <v>19</v>
      </c>
      <c r="H40" s="39">
        <v>19767</v>
      </c>
      <c r="I40" s="38">
        <v>706</v>
      </c>
      <c r="J40" s="42">
        <v>0</v>
      </c>
      <c r="K40" s="108">
        <v>0.4889196675900277</v>
      </c>
    </row>
    <row r="41" spans="1:11" x14ac:dyDescent="0.25">
      <c r="A41" s="38" t="s">
        <v>697</v>
      </c>
      <c r="B41" s="39">
        <v>1717</v>
      </c>
      <c r="C41" s="39">
        <v>1462</v>
      </c>
      <c r="D41" s="39">
        <v>1409</v>
      </c>
      <c r="E41" s="40">
        <v>0.53210000000000002</v>
      </c>
      <c r="F41" s="38">
        <v>0.82</v>
      </c>
      <c r="G41" s="38">
        <v>18</v>
      </c>
      <c r="H41" s="39">
        <v>19365</v>
      </c>
      <c r="I41" s="38">
        <v>715</v>
      </c>
      <c r="J41" s="42">
        <v>144.25</v>
      </c>
      <c r="K41" s="108">
        <v>0.50745209368346345</v>
      </c>
    </row>
    <row r="42" spans="1:11" x14ac:dyDescent="0.25">
      <c r="A42" s="38" t="s">
        <v>698</v>
      </c>
      <c r="B42" s="39">
        <v>1706</v>
      </c>
      <c r="C42" s="39">
        <v>1540</v>
      </c>
      <c r="D42" s="39">
        <v>1302</v>
      </c>
      <c r="E42" s="40">
        <v>0.54979999999999996</v>
      </c>
      <c r="F42" s="38">
        <v>0.76</v>
      </c>
      <c r="G42" s="38">
        <v>21</v>
      </c>
      <c r="H42" s="39">
        <v>19682</v>
      </c>
      <c r="I42" s="38">
        <v>866</v>
      </c>
      <c r="J42" s="42">
        <v>144.25</v>
      </c>
      <c r="K42" s="108">
        <v>0.66513056835637485</v>
      </c>
    </row>
    <row r="43" spans="1:11" x14ac:dyDescent="0.25">
      <c r="A43" s="38" t="s">
        <v>699</v>
      </c>
      <c r="B43" s="39">
        <v>1648</v>
      </c>
      <c r="C43" s="39">
        <v>1472</v>
      </c>
      <c r="D43" s="39">
        <v>1141</v>
      </c>
      <c r="E43" s="40">
        <v>0.4713</v>
      </c>
      <c r="F43" s="38">
        <v>0.69</v>
      </c>
      <c r="G43" s="38">
        <v>16</v>
      </c>
      <c r="H43" s="39">
        <v>16745</v>
      </c>
      <c r="I43" s="38">
        <v>447</v>
      </c>
      <c r="J43" s="42">
        <v>0</v>
      </c>
      <c r="K43" s="108">
        <v>0.39176161262050835</v>
      </c>
    </row>
    <row r="44" spans="1:11" x14ac:dyDescent="0.25">
      <c r="A44" s="38" t="s">
        <v>700</v>
      </c>
      <c r="B44" s="39">
        <v>1541</v>
      </c>
      <c r="C44" s="39">
        <v>1380</v>
      </c>
      <c r="D44" s="39">
        <v>1099</v>
      </c>
      <c r="E44" s="40">
        <v>0.45529999999999998</v>
      </c>
      <c r="F44" s="38">
        <v>0.71</v>
      </c>
      <c r="G44" s="38">
        <v>18</v>
      </c>
      <c r="H44" s="39">
        <v>16808</v>
      </c>
      <c r="I44" s="38">
        <v>555</v>
      </c>
      <c r="J44" s="42">
        <v>144.25</v>
      </c>
      <c r="K44" s="108">
        <v>0.50500454959053687</v>
      </c>
    </row>
    <row r="45" spans="1:11" x14ac:dyDescent="0.25">
      <c r="A45" s="38" t="s">
        <v>701</v>
      </c>
      <c r="B45" s="39">
        <v>1526</v>
      </c>
      <c r="C45" s="39">
        <v>1390</v>
      </c>
      <c r="D45" s="39">
        <v>1089</v>
      </c>
      <c r="E45" s="40">
        <v>0.52739999999999998</v>
      </c>
      <c r="F45" s="38">
        <v>0.71</v>
      </c>
      <c r="G45" s="38">
        <v>21</v>
      </c>
      <c r="H45" s="39">
        <v>17211</v>
      </c>
      <c r="I45" s="38">
        <v>707</v>
      </c>
      <c r="J45" s="42">
        <v>144.25</v>
      </c>
      <c r="K45" s="108">
        <v>0.64921946740128555</v>
      </c>
    </row>
    <row r="46" spans="1:11" x14ac:dyDescent="0.25">
      <c r="A46" s="38" t="s">
        <v>702</v>
      </c>
      <c r="B46" s="39">
        <v>1447</v>
      </c>
      <c r="C46" s="39">
        <v>1199</v>
      </c>
      <c r="D46" s="39">
        <v>1242</v>
      </c>
      <c r="E46" s="40">
        <v>0.40570000000000001</v>
      </c>
      <c r="F46" s="38">
        <v>0.86</v>
      </c>
      <c r="G46" s="38">
        <v>17</v>
      </c>
      <c r="H46" s="39">
        <v>19290</v>
      </c>
      <c r="I46" s="38">
        <v>487</v>
      </c>
      <c r="J46" s="42">
        <v>144.25</v>
      </c>
      <c r="K46" s="108">
        <v>0.392109500805153</v>
      </c>
    </row>
    <row r="47" spans="1:11" x14ac:dyDescent="0.25">
      <c r="A47" s="38" t="s">
        <v>703</v>
      </c>
      <c r="B47" s="39">
        <v>1425</v>
      </c>
      <c r="C47" s="39">
        <v>1247</v>
      </c>
      <c r="D47" s="39">
        <v>1062</v>
      </c>
      <c r="E47" s="40">
        <v>0.46970000000000001</v>
      </c>
      <c r="F47" s="38">
        <v>0.75</v>
      </c>
      <c r="G47" s="38">
        <v>19</v>
      </c>
      <c r="H47" s="39">
        <v>16497</v>
      </c>
      <c r="I47" s="38">
        <v>589</v>
      </c>
      <c r="J47" s="42">
        <v>53.68</v>
      </c>
      <c r="K47" s="108">
        <v>0.55461393596986819</v>
      </c>
    </row>
    <row r="48" spans="1:11" x14ac:dyDescent="0.25">
      <c r="A48" s="38" t="s">
        <v>704</v>
      </c>
      <c r="B48" s="39">
        <v>1368</v>
      </c>
      <c r="C48" s="39">
        <v>1199</v>
      </c>
      <c r="D48" s="39">
        <v>1040</v>
      </c>
      <c r="E48" s="40">
        <v>0.48920000000000002</v>
      </c>
      <c r="F48" s="38">
        <v>0.76</v>
      </c>
      <c r="G48" s="38">
        <v>17</v>
      </c>
      <c r="H48" s="39">
        <v>14764</v>
      </c>
      <c r="I48" s="38">
        <v>487</v>
      </c>
      <c r="J48" s="42">
        <v>121.28</v>
      </c>
      <c r="K48" s="108">
        <v>0.46826923076923077</v>
      </c>
    </row>
    <row r="49" spans="1:11" x14ac:dyDescent="0.25">
      <c r="A49" s="38" t="s">
        <v>705</v>
      </c>
      <c r="B49" s="39">
        <v>1336</v>
      </c>
      <c r="C49" s="39">
        <v>1156</v>
      </c>
      <c r="D49" s="38">
        <v>978</v>
      </c>
      <c r="E49" s="40">
        <v>0.44330000000000003</v>
      </c>
      <c r="F49" s="38">
        <v>0.73</v>
      </c>
      <c r="G49" s="38">
        <v>15</v>
      </c>
      <c r="H49" s="39">
        <v>14495</v>
      </c>
      <c r="I49" s="38">
        <v>393</v>
      </c>
      <c r="J49" s="42">
        <v>144.25</v>
      </c>
      <c r="K49" s="108">
        <v>0.40184049079754602</v>
      </c>
    </row>
    <row r="50" spans="1:11" x14ac:dyDescent="0.25">
      <c r="A50" s="38" t="s">
        <v>706</v>
      </c>
      <c r="B50" s="39">
        <v>1297</v>
      </c>
      <c r="C50" s="39">
        <v>1118</v>
      </c>
      <c r="D50" s="39">
        <v>1036</v>
      </c>
      <c r="E50" s="40">
        <v>0.53369999999999995</v>
      </c>
      <c r="F50" s="38">
        <v>0.8</v>
      </c>
      <c r="G50" s="38">
        <v>22</v>
      </c>
      <c r="H50" s="39">
        <v>15433</v>
      </c>
      <c r="I50" s="38">
        <v>554</v>
      </c>
      <c r="J50" s="42">
        <v>197.93</v>
      </c>
      <c r="K50" s="108">
        <v>0.53474903474903479</v>
      </c>
    </row>
    <row r="51" spans="1:11" x14ac:dyDescent="0.25">
      <c r="A51" s="38" t="s">
        <v>707</v>
      </c>
      <c r="B51" s="39">
        <v>1235</v>
      </c>
      <c r="C51" s="39">
        <v>1115</v>
      </c>
      <c r="D51" s="38">
        <v>853</v>
      </c>
      <c r="E51" s="40">
        <v>0.50619999999999998</v>
      </c>
      <c r="F51" s="38">
        <v>0.69</v>
      </c>
      <c r="G51" s="38">
        <v>13</v>
      </c>
      <c r="H51" s="39">
        <v>11890</v>
      </c>
      <c r="I51" s="38">
        <v>334</v>
      </c>
      <c r="J51" s="42">
        <v>0</v>
      </c>
      <c r="K51" s="108">
        <v>0.39155920281359907</v>
      </c>
    </row>
    <row r="52" spans="1:11" x14ac:dyDescent="0.25">
      <c r="A52" s="38" t="s">
        <v>708</v>
      </c>
      <c r="B52" s="39">
        <v>1184</v>
      </c>
      <c r="C52" s="39">
        <v>1026</v>
      </c>
      <c r="D52" s="38">
        <v>989</v>
      </c>
      <c r="E52" s="40">
        <v>0.48770000000000002</v>
      </c>
      <c r="F52" s="38">
        <v>0.84</v>
      </c>
      <c r="G52" s="38">
        <v>17</v>
      </c>
      <c r="H52" s="39">
        <v>13436</v>
      </c>
      <c r="I52" s="38">
        <v>447</v>
      </c>
      <c r="J52" s="42">
        <v>0</v>
      </c>
      <c r="K52" s="108">
        <v>0.45197168857431747</v>
      </c>
    </row>
    <row r="53" spans="1:11" x14ac:dyDescent="0.25">
      <c r="A53" s="38" t="s">
        <v>709</v>
      </c>
      <c r="B53" s="39">
        <v>1182</v>
      </c>
      <c r="C53" s="39">
        <v>1034</v>
      </c>
      <c r="D53" s="38">
        <v>951</v>
      </c>
      <c r="E53" s="40">
        <v>0.50860000000000005</v>
      </c>
      <c r="F53" s="38">
        <v>0.8</v>
      </c>
      <c r="G53" s="38">
        <v>18</v>
      </c>
      <c r="H53" s="39">
        <v>13387</v>
      </c>
      <c r="I53" s="38">
        <v>468</v>
      </c>
      <c r="J53" s="42">
        <v>144.25</v>
      </c>
      <c r="K53" s="108">
        <v>0.49211356466876971</v>
      </c>
    </row>
    <row r="54" spans="1:11" x14ac:dyDescent="0.25">
      <c r="A54" s="38" t="s">
        <v>710</v>
      </c>
      <c r="B54" s="39">
        <v>1115</v>
      </c>
      <c r="C54" s="39">
        <v>1010</v>
      </c>
      <c r="D54" s="38">
        <v>914</v>
      </c>
      <c r="E54" s="40">
        <v>0.55230000000000001</v>
      </c>
      <c r="F54" s="38">
        <v>0.82</v>
      </c>
      <c r="G54" s="38">
        <v>25</v>
      </c>
      <c r="H54" s="39">
        <v>13542</v>
      </c>
      <c r="I54" s="38">
        <v>566</v>
      </c>
      <c r="J54" s="42">
        <v>144.25</v>
      </c>
      <c r="K54" s="108">
        <v>0.61925601750547044</v>
      </c>
    </row>
    <row r="55" spans="1:11" x14ac:dyDescent="0.25">
      <c r="A55" s="38" t="s">
        <v>711</v>
      </c>
      <c r="B55" s="39">
        <v>1080</v>
      </c>
      <c r="C55" s="38">
        <v>958</v>
      </c>
      <c r="D55" s="38">
        <v>749</v>
      </c>
      <c r="E55" s="40">
        <v>0.46060000000000001</v>
      </c>
      <c r="F55" s="38">
        <v>0.69</v>
      </c>
      <c r="G55" s="38">
        <v>14</v>
      </c>
      <c r="H55" s="39">
        <v>11326</v>
      </c>
      <c r="I55" s="38">
        <v>343</v>
      </c>
      <c r="J55" s="42">
        <v>2956.21</v>
      </c>
      <c r="K55" s="108">
        <v>0.45794392523364486</v>
      </c>
    </row>
    <row r="56" spans="1:11" x14ac:dyDescent="0.25">
      <c r="A56" s="38" t="s">
        <v>712</v>
      </c>
      <c r="B56" s="39">
        <v>1061</v>
      </c>
      <c r="C56" s="38">
        <v>900</v>
      </c>
      <c r="D56" s="38">
        <v>847</v>
      </c>
      <c r="E56" s="40">
        <v>0.51929999999999998</v>
      </c>
      <c r="F56" s="38">
        <v>0.8</v>
      </c>
      <c r="G56" s="38">
        <v>19</v>
      </c>
      <c r="H56" s="39">
        <v>11837</v>
      </c>
      <c r="I56" s="38">
        <v>445</v>
      </c>
      <c r="J56" s="42">
        <v>144.25</v>
      </c>
      <c r="K56" s="108">
        <v>0.52538370720188898</v>
      </c>
    </row>
    <row r="57" spans="1:11" x14ac:dyDescent="0.25">
      <c r="A57" s="38" t="s">
        <v>713</v>
      </c>
      <c r="B57" s="39">
        <v>1035</v>
      </c>
      <c r="C57" s="38">
        <v>926</v>
      </c>
      <c r="D57" s="38">
        <v>723</v>
      </c>
      <c r="E57" s="40">
        <v>0.40060000000000001</v>
      </c>
      <c r="F57" s="38">
        <v>0.7</v>
      </c>
      <c r="G57" s="38">
        <v>17</v>
      </c>
      <c r="H57" s="39">
        <v>11849</v>
      </c>
      <c r="I57" s="38">
        <v>374</v>
      </c>
      <c r="J57" s="42">
        <v>144.25</v>
      </c>
      <c r="K57" s="108">
        <v>0.51728907330567087</v>
      </c>
    </row>
    <row r="58" spans="1:11" x14ac:dyDescent="0.25">
      <c r="A58" s="38" t="s">
        <v>714</v>
      </c>
      <c r="B58" s="39">
        <v>1032</v>
      </c>
      <c r="C58" s="38">
        <v>888</v>
      </c>
      <c r="D58" s="38">
        <v>754</v>
      </c>
      <c r="E58" s="40">
        <v>0.48209999999999997</v>
      </c>
      <c r="F58" s="38">
        <v>0.73</v>
      </c>
      <c r="G58" s="38">
        <v>18</v>
      </c>
      <c r="H58" s="39">
        <v>11254</v>
      </c>
      <c r="I58" s="38">
        <v>323</v>
      </c>
      <c r="J58" s="42">
        <v>0</v>
      </c>
      <c r="K58" s="108">
        <v>0.42838196286472147</v>
      </c>
    </row>
    <row r="59" spans="1:11" x14ac:dyDescent="0.25">
      <c r="A59" s="38" t="s">
        <v>715</v>
      </c>
      <c r="B59" s="39">
        <v>1021</v>
      </c>
      <c r="C59" s="38">
        <v>948</v>
      </c>
      <c r="D59" s="38">
        <v>716</v>
      </c>
      <c r="E59" s="40">
        <v>0.51359999999999995</v>
      </c>
      <c r="F59" s="38">
        <v>0.7</v>
      </c>
      <c r="G59" s="38">
        <v>19</v>
      </c>
      <c r="H59" s="39">
        <v>11340</v>
      </c>
      <c r="I59" s="38">
        <v>461</v>
      </c>
      <c r="J59" s="42">
        <v>144.25</v>
      </c>
      <c r="K59" s="108">
        <v>0.6438547486033519</v>
      </c>
    </row>
    <row r="60" spans="1:11" x14ac:dyDescent="0.25">
      <c r="A60" s="38" t="s">
        <v>716</v>
      </c>
      <c r="B60" s="38">
        <v>986</v>
      </c>
      <c r="C60" s="38">
        <v>828</v>
      </c>
      <c r="D60" s="38">
        <v>828</v>
      </c>
      <c r="E60" s="40">
        <v>0.55979999999999996</v>
      </c>
      <c r="F60" s="38">
        <v>0.84</v>
      </c>
      <c r="G60" s="38">
        <v>22</v>
      </c>
      <c r="H60" s="39">
        <v>11834</v>
      </c>
      <c r="I60" s="38">
        <v>407</v>
      </c>
      <c r="J60" s="42">
        <v>0</v>
      </c>
      <c r="K60" s="108">
        <v>0.49154589371980678</v>
      </c>
    </row>
    <row r="61" spans="1:11" x14ac:dyDescent="0.25">
      <c r="A61" s="38" t="s">
        <v>717</v>
      </c>
      <c r="B61" s="38">
        <v>984</v>
      </c>
      <c r="C61" s="38">
        <v>831</v>
      </c>
      <c r="D61" s="38">
        <v>763</v>
      </c>
      <c r="E61" s="40">
        <v>0.51939999999999997</v>
      </c>
      <c r="F61" s="38">
        <v>0.78</v>
      </c>
      <c r="G61" s="38">
        <v>21</v>
      </c>
      <c r="H61" s="39">
        <v>11088</v>
      </c>
      <c r="I61" s="38">
        <v>372</v>
      </c>
      <c r="J61" s="42">
        <v>0</v>
      </c>
      <c r="K61" s="108">
        <v>0.48754914809960681</v>
      </c>
    </row>
    <row r="62" spans="1:11" x14ac:dyDescent="0.25">
      <c r="A62" s="38" t="s">
        <v>718</v>
      </c>
      <c r="B62" s="38">
        <v>950</v>
      </c>
      <c r="C62" s="38">
        <v>808</v>
      </c>
      <c r="D62" s="38">
        <v>732</v>
      </c>
      <c r="E62" s="40">
        <v>0.4874</v>
      </c>
      <c r="F62" s="38">
        <v>0.77</v>
      </c>
      <c r="G62" s="38">
        <v>18</v>
      </c>
      <c r="H62" s="39">
        <v>10543</v>
      </c>
      <c r="I62" s="38">
        <v>307</v>
      </c>
      <c r="J62" s="42">
        <v>0</v>
      </c>
      <c r="K62" s="108">
        <v>0.41939890710382516</v>
      </c>
    </row>
    <row r="63" spans="1:11" x14ac:dyDescent="0.25">
      <c r="A63" s="38" t="s">
        <v>719</v>
      </c>
      <c r="B63" s="38">
        <v>902</v>
      </c>
      <c r="C63" s="38">
        <v>792</v>
      </c>
      <c r="D63" s="38">
        <v>667</v>
      </c>
      <c r="E63" s="40">
        <v>0.4879</v>
      </c>
      <c r="F63" s="38">
        <v>0.74</v>
      </c>
      <c r="G63" s="38">
        <v>17</v>
      </c>
      <c r="H63" s="39">
        <v>9803</v>
      </c>
      <c r="I63" s="38">
        <v>327</v>
      </c>
      <c r="J63" s="42">
        <v>121.28</v>
      </c>
      <c r="K63" s="108">
        <v>0.49025487256371814</v>
      </c>
    </row>
    <row r="64" spans="1:11" x14ac:dyDescent="0.25">
      <c r="A64" s="38" t="s">
        <v>720</v>
      </c>
      <c r="B64" s="38">
        <v>895</v>
      </c>
      <c r="C64" s="38">
        <v>764</v>
      </c>
      <c r="D64" s="38">
        <v>715</v>
      </c>
      <c r="E64" s="40">
        <v>0.52880000000000005</v>
      </c>
      <c r="F64" s="38">
        <v>0.8</v>
      </c>
      <c r="G64" s="38">
        <v>17</v>
      </c>
      <c r="H64" s="39">
        <v>9862</v>
      </c>
      <c r="I64" s="38">
        <v>365</v>
      </c>
      <c r="J64" s="42">
        <v>121.28</v>
      </c>
      <c r="K64" s="108">
        <v>0.51048951048951052</v>
      </c>
    </row>
    <row r="65" spans="1:11" x14ac:dyDescent="0.25">
      <c r="A65" s="38" t="s">
        <v>721</v>
      </c>
      <c r="B65" s="38">
        <v>895</v>
      </c>
      <c r="C65" s="38">
        <v>825</v>
      </c>
      <c r="D65" s="38">
        <v>638</v>
      </c>
      <c r="E65" s="40">
        <v>0.52080000000000004</v>
      </c>
      <c r="F65" s="38">
        <v>0.71</v>
      </c>
      <c r="G65" s="38">
        <v>19</v>
      </c>
      <c r="H65" s="39">
        <v>9762</v>
      </c>
      <c r="I65" s="38">
        <v>410</v>
      </c>
      <c r="J65" s="42">
        <v>144.25</v>
      </c>
      <c r="K65" s="108">
        <v>0.64263322884012541</v>
      </c>
    </row>
    <row r="66" spans="1:11" x14ac:dyDescent="0.25">
      <c r="A66" s="38" t="s">
        <v>722</v>
      </c>
      <c r="B66" s="38">
        <v>806</v>
      </c>
      <c r="C66" s="38">
        <v>705</v>
      </c>
      <c r="D66" s="38">
        <v>617</v>
      </c>
      <c r="E66" s="40">
        <v>0.44519999999999998</v>
      </c>
      <c r="F66" s="38">
        <v>0.77</v>
      </c>
      <c r="G66" s="38">
        <v>22</v>
      </c>
      <c r="H66" s="39">
        <v>10300</v>
      </c>
      <c r="I66" s="38">
        <v>374</v>
      </c>
      <c r="J66" s="42">
        <v>0</v>
      </c>
      <c r="K66" s="108">
        <v>0.60615883306320906</v>
      </c>
    </row>
    <row r="67" spans="1:11" x14ac:dyDescent="0.25">
      <c r="A67" s="38" t="s">
        <v>723</v>
      </c>
      <c r="B67" s="38">
        <v>790</v>
      </c>
      <c r="C67" s="38">
        <v>687</v>
      </c>
      <c r="D67" s="38">
        <v>551</v>
      </c>
      <c r="E67" s="40">
        <v>0.41460000000000002</v>
      </c>
      <c r="F67" s="38">
        <v>0.7</v>
      </c>
      <c r="G67" s="38">
        <v>15</v>
      </c>
      <c r="H67" s="39">
        <v>8600</v>
      </c>
      <c r="I67" s="38">
        <v>247</v>
      </c>
      <c r="J67" s="42">
        <v>0</v>
      </c>
      <c r="K67" s="108">
        <v>0.44827586206896552</v>
      </c>
    </row>
    <row r="68" spans="1:11" x14ac:dyDescent="0.25">
      <c r="A68" s="38" t="s">
        <v>724</v>
      </c>
      <c r="B68" s="38">
        <v>784</v>
      </c>
      <c r="C68" s="38">
        <v>673</v>
      </c>
      <c r="D68" s="38">
        <v>609</v>
      </c>
      <c r="E68" s="40">
        <v>0.51219999999999999</v>
      </c>
      <c r="F68" s="38">
        <v>0.78</v>
      </c>
      <c r="G68" s="38">
        <v>21</v>
      </c>
      <c r="H68" s="39">
        <v>9176</v>
      </c>
      <c r="I68" s="38">
        <v>336</v>
      </c>
      <c r="J68" s="42">
        <v>197.93</v>
      </c>
      <c r="K68" s="108">
        <v>0.55172413793103448</v>
      </c>
    </row>
    <row r="69" spans="1:11" x14ac:dyDescent="0.25">
      <c r="A69" s="38" t="s">
        <v>725</v>
      </c>
      <c r="B69" s="38">
        <v>759</v>
      </c>
      <c r="C69" s="38">
        <v>674</v>
      </c>
      <c r="D69" s="38">
        <v>581</v>
      </c>
      <c r="E69" s="40">
        <v>0.503</v>
      </c>
      <c r="F69" s="38">
        <v>0.77</v>
      </c>
      <c r="G69" s="38">
        <v>18</v>
      </c>
      <c r="H69" s="39">
        <v>8565</v>
      </c>
      <c r="I69" s="38">
        <v>350</v>
      </c>
      <c r="J69" s="42">
        <v>144.25</v>
      </c>
      <c r="K69" s="108">
        <v>0.60240963855421692</v>
      </c>
    </row>
    <row r="70" spans="1:11" x14ac:dyDescent="0.25">
      <c r="A70" s="38" t="s">
        <v>726</v>
      </c>
      <c r="B70" s="38">
        <v>701</v>
      </c>
      <c r="C70" s="38">
        <v>615</v>
      </c>
      <c r="D70" s="38">
        <v>544</v>
      </c>
      <c r="E70" s="40">
        <v>0.5292</v>
      </c>
      <c r="F70" s="38">
        <v>0.78</v>
      </c>
      <c r="G70" s="38">
        <v>19</v>
      </c>
      <c r="H70" s="39">
        <v>7913</v>
      </c>
      <c r="I70" s="38">
        <v>320</v>
      </c>
      <c r="J70" s="42">
        <v>0</v>
      </c>
      <c r="K70" s="108">
        <v>0.58823529411764708</v>
      </c>
    </row>
    <row r="71" spans="1:11" x14ac:dyDescent="0.25">
      <c r="A71" s="38" t="s">
        <v>727</v>
      </c>
      <c r="B71" s="38">
        <v>690</v>
      </c>
      <c r="C71" s="38">
        <v>576</v>
      </c>
      <c r="D71" s="38">
        <v>550</v>
      </c>
      <c r="E71" s="40">
        <v>0.55559999999999998</v>
      </c>
      <c r="F71" s="38">
        <v>0.8</v>
      </c>
      <c r="G71" s="38">
        <v>18</v>
      </c>
      <c r="H71" s="39">
        <v>7762</v>
      </c>
      <c r="I71" s="38">
        <v>264</v>
      </c>
      <c r="J71" s="42">
        <v>0</v>
      </c>
      <c r="K71" s="108">
        <v>0.48</v>
      </c>
    </row>
    <row r="72" spans="1:11" x14ac:dyDescent="0.25">
      <c r="A72" s="38" t="s">
        <v>728</v>
      </c>
      <c r="B72" s="38">
        <v>630</v>
      </c>
      <c r="C72" s="38">
        <v>543</v>
      </c>
      <c r="D72" s="38">
        <v>478</v>
      </c>
      <c r="E72" s="40">
        <v>0.50849999999999995</v>
      </c>
      <c r="F72" s="38">
        <v>0.76</v>
      </c>
      <c r="G72" s="38">
        <v>20</v>
      </c>
      <c r="H72" s="39">
        <v>7230</v>
      </c>
      <c r="I72" s="38">
        <v>295</v>
      </c>
      <c r="J72" s="42">
        <v>0</v>
      </c>
      <c r="K72" s="108">
        <v>0.61715481171548114</v>
      </c>
    </row>
    <row r="73" spans="1:11" x14ac:dyDescent="0.25">
      <c r="A73" s="38" t="s">
        <v>729</v>
      </c>
      <c r="B73" s="38">
        <v>621</v>
      </c>
      <c r="C73" s="38">
        <v>537</v>
      </c>
      <c r="D73" s="38">
        <v>442</v>
      </c>
      <c r="E73" s="40">
        <v>0.47370000000000001</v>
      </c>
      <c r="F73" s="38">
        <v>0.71</v>
      </c>
      <c r="G73" s="38">
        <v>21</v>
      </c>
      <c r="H73" s="39">
        <v>7069</v>
      </c>
      <c r="I73" s="38">
        <v>239</v>
      </c>
      <c r="J73" s="42">
        <v>144.25</v>
      </c>
      <c r="K73" s="108">
        <v>0.54072398190045246</v>
      </c>
    </row>
    <row r="74" spans="1:11" x14ac:dyDescent="0.25">
      <c r="A74" s="38" t="s">
        <v>730</v>
      </c>
      <c r="B74" s="38">
        <v>542</v>
      </c>
      <c r="C74" s="38">
        <v>468</v>
      </c>
      <c r="D74" s="38">
        <v>415</v>
      </c>
      <c r="E74" s="40">
        <v>0.48420000000000002</v>
      </c>
      <c r="F74" s="38">
        <v>0.77</v>
      </c>
      <c r="G74" s="38">
        <v>15</v>
      </c>
      <c r="H74" s="39">
        <v>5977</v>
      </c>
      <c r="I74" s="38">
        <v>266</v>
      </c>
      <c r="J74" s="42">
        <v>0</v>
      </c>
      <c r="K74" s="108">
        <v>0.64096385542168677</v>
      </c>
    </row>
    <row r="75" spans="1:11" x14ac:dyDescent="0.25">
      <c r="A75" s="38" t="s">
        <v>731</v>
      </c>
      <c r="B75" s="38">
        <v>516</v>
      </c>
      <c r="C75" s="38">
        <v>469</v>
      </c>
      <c r="D75" s="38">
        <v>413</v>
      </c>
      <c r="E75" s="40">
        <v>0.58499999999999996</v>
      </c>
      <c r="F75" s="38">
        <v>0.8</v>
      </c>
      <c r="G75" s="38">
        <v>15</v>
      </c>
      <c r="H75" s="39">
        <v>5290</v>
      </c>
      <c r="I75" s="38">
        <v>172</v>
      </c>
      <c r="J75" s="42">
        <v>0</v>
      </c>
      <c r="K75" s="108">
        <v>0.41646489104116224</v>
      </c>
    </row>
    <row r="76" spans="1:11" x14ac:dyDescent="0.25">
      <c r="A76" s="38" t="s">
        <v>732</v>
      </c>
      <c r="B76" s="38">
        <v>482</v>
      </c>
      <c r="C76" s="38">
        <v>428</v>
      </c>
      <c r="D76" s="38">
        <v>367</v>
      </c>
      <c r="E76" s="40">
        <v>0.5111</v>
      </c>
      <c r="F76" s="38">
        <v>0.76</v>
      </c>
      <c r="G76" s="38">
        <v>21</v>
      </c>
      <c r="H76" s="39">
        <v>5388</v>
      </c>
      <c r="I76" s="38">
        <v>205</v>
      </c>
      <c r="J76" s="42">
        <v>0</v>
      </c>
      <c r="K76" s="108">
        <v>0.55858310626703001</v>
      </c>
    </row>
    <row r="77" spans="1:11" x14ac:dyDescent="0.25">
      <c r="A77" s="38" t="s">
        <v>733</v>
      </c>
      <c r="B77" s="38">
        <v>481</v>
      </c>
      <c r="C77" s="38">
        <v>420</v>
      </c>
      <c r="D77" s="38">
        <v>384</v>
      </c>
      <c r="E77" s="40">
        <v>0.4955</v>
      </c>
      <c r="F77" s="38">
        <v>0.8</v>
      </c>
      <c r="G77" s="38">
        <v>27</v>
      </c>
      <c r="H77" s="39">
        <v>6233</v>
      </c>
      <c r="I77" s="38">
        <v>247</v>
      </c>
      <c r="J77" s="42">
        <v>311.89</v>
      </c>
      <c r="K77" s="108">
        <v>0.64322916666666663</v>
      </c>
    </row>
    <row r="78" spans="1:11" x14ac:dyDescent="0.25">
      <c r="A78" s="38" t="s">
        <v>734</v>
      </c>
      <c r="B78" s="38">
        <v>475</v>
      </c>
      <c r="C78" s="38">
        <v>414</v>
      </c>
      <c r="D78" s="38">
        <v>374</v>
      </c>
      <c r="E78" s="40">
        <v>0.52380000000000004</v>
      </c>
      <c r="F78" s="38">
        <v>0.79</v>
      </c>
      <c r="G78" s="38">
        <v>22</v>
      </c>
      <c r="H78" s="39">
        <v>5769</v>
      </c>
      <c r="I78" s="38">
        <v>214</v>
      </c>
      <c r="J78" s="42">
        <v>0</v>
      </c>
      <c r="K78" s="108">
        <v>0.57219251336898391</v>
      </c>
    </row>
    <row r="79" spans="1:11" x14ac:dyDescent="0.25">
      <c r="A79" s="38" t="s">
        <v>735</v>
      </c>
      <c r="B79" s="38">
        <v>466</v>
      </c>
      <c r="C79" s="38">
        <v>424</v>
      </c>
      <c r="D79" s="38">
        <v>369</v>
      </c>
      <c r="E79" s="40">
        <v>0.57389999999999997</v>
      </c>
      <c r="F79" s="38">
        <v>0.79</v>
      </c>
      <c r="G79" s="38">
        <v>26</v>
      </c>
      <c r="H79" s="39">
        <v>5618</v>
      </c>
      <c r="I79" s="38">
        <v>262</v>
      </c>
      <c r="J79" s="42">
        <v>144.25</v>
      </c>
      <c r="K79" s="108">
        <v>0.71002710027100269</v>
      </c>
    </row>
    <row r="80" spans="1:11" x14ac:dyDescent="0.25">
      <c r="A80" s="38" t="s">
        <v>736</v>
      </c>
      <c r="B80" s="38">
        <v>465</v>
      </c>
      <c r="C80" s="38">
        <v>420</v>
      </c>
      <c r="D80" s="38">
        <v>358</v>
      </c>
      <c r="E80" s="40">
        <v>0.54569999999999996</v>
      </c>
      <c r="F80" s="38">
        <v>0.77</v>
      </c>
      <c r="G80" s="38">
        <v>15</v>
      </c>
      <c r="H80" s="39">
        <v>4753</v>
      </c>
      <c r="I80" s="38">
        <v>164</v>
      </c>
      <c r="J80" s="42">
        <v>0</v>
      </c>
      <c r="K80" s="108">
        <v>0.45810055865921789</v>
      </c>
    </row>
    <row r="81" spans="1:11" x14ac:dyDescent="0.25">
      <c r="A81" s="38" t="s">
        <v>737</v>
      </c>
      <c r="B81" s="38">
        <v>458</v>
      </c>
      <c r="C81" s="38">
        <v>382</v>
      </c>
      <c r="D81" s="38">
        <v>334</v>
      </c>
      <c r="E81" s="40">
        <v>0.48480000000000001</v>
      </c>
      <c r="F81" s="38">
        <v>0.73</v>
      </c>
      <c r="G81" s="38">
        <v>20</v>
      </c>
      <c r="H81" s="39">
        <v>4815</v>
      </c>
      <c r="I81" s="38">
        <v>156</v>
      </c>
      <c r="J81" s="42">
        <v>0</v>
      </c>
      <c r="K81" s="108">
        <v>0.46706586826347307</v>
      </c>
    </row>
    <row r="82" spans="1:11" x14ac:dyDescent="0.25">
      <c r="A82" s="38" t="s">
        <v>738</v>
      </c>
      <c r="B82" s="38">
        <v>453</v>
      </c>
      <c r="C82" s="38">
        <v>421</v>
      </c>
      <c r="D82" s="38">
        <v>261</v>
      </c>
      <c r="E82" s="40">
        <v>0.38669999999999999</v>
      </c>
      <c r="F82" s="38">
        <v>0.57999999999999996</v>
      </c>
      <c r="G82" s="38">
        <v>10</v>
      </c>
      <c r="H82" s="39">
        <v>4319</v>
      </c>
      <c r="I82" s="38">
        <v>85</v>
      </c>
      <c r="J82" s="42">
        <v>0</v>
      </c>
      <c r="K82" s="108">
        <v>0.32567049808429116</v>
      </c>
    </row>
    <row r="83" spans="1:11" x14ac:dyDescent="0.25">
      <c r="A83" s="38" t="s">
        <v>739</v>
      </c>
      <c r="B83" s="38">
        <v>398</v>
      </c>
      <c r="C83" s="38">
        <v>352</v>
      </c>
      <c r="D83" s="38">
        <v>288</v>
      </c>
      <c r="E83" s="40">
        <v>0.43369999999999997</v>
      </c>
      <c r="F83" s="38">
        <v>0.72</v>
      </c>
      <c r="G83" s="38">
        <v>16</v>
      </c>
      <c r="H83" s="39">
        <v>4363</v>
      </c>
      <c r="I83" s="38">
        <v>116</v>
      </c>
      <c r="J83" s="42">
        <v>0</v>
      </c>
      <c r="K83" s="108">
        <v>0.40277777777777779</v>
      </c>
    </row>
    <row r="84" spans="1:11" x14ac:dyDescent="0.25">
      <c r="A84" s="38" t="s">
        <v>740</v>
      </c>
      <c r="B84" s="38">
        <v>387</v>
      </c>
      <c r="C84" s="38">
        <v>340</v>
      </c>
      <c r="D84" s="38">
        <v>290</v>
      </c>
      <c r="E84" s="40">
        <v>0.55769999999999997</v>
      </c>
      <c r="F84" s="38">
        <v>0.75</v>
      </c>
      <c r="G84" s="38">
        <v>15</v>
      </c>
      <c r="H84" s="39">
        <v>3935</v>
      </c>
      <c r="I84" s="38">
        <v>133</v>
      </c>
      <c r="J84" s="42">
        <v>0</v>
      </c>
      <c r="K84" s="108">
        <v>0.45862068965517239</v>
      </c>
    </row>
    <row r="85" spans="1:11" x14ac:dyDescent="0.25">
      <c r="A85" s="38" t="s">
        <v>741</v>
      </c>
      <c r="B85" s="38">
        <v>347</v>
      </c>
      <c r="C85" s="38">
        <v>305</v>
      </c>
      <c r="D85" s="38">
        <v>269</v>
      </c>
      <c r="E85" s="40">
        <v>0.56279999999999997</v>
      </c>
      <c r="F85" s="38">
        <v>0.78</v>
      </c>
      <c r="G85" s="38">
        <v>17</v>
      </c>
      <c r="H85" s="39">
        <v>3529</v>
      </c>
      <c r="I85" s="38">
        <v>143</v>
      </c>
      <c r="J85" s="42">
        <v>144.25</v>
      </c>
      <c r="K85" s="108">
        <v>0.53159851301115246</v>
      </c>
    </row>
    <row r="86" spans="1:11" x14ac:dyDescent="0.25">
      <c r="A86" s="38" t="s">
        <v>742</v>
      </c>
      <c r="B86" s="38">
        <v>322</v>
      </c>
      <c r="C86" s="38">
        <v>289</v>
      </c>
      <c r="D86" s="38">
        <v>235</v>
      </c>
      <c r="E86" s="40">
        <v>0.4738</v>
      </c>
      <c r="F86" s="38">
        <v>0.73</v>
      </c>
      <c r="G86" s="38">
        <v>18</v>
      </c>
      <c r="H86" s="39">
        <v>3482</v>
      </c>
      <c r="I86" s="38">
        <v>115</v>
      </c>
      <c r="J86" s="42">
        <v>0</v>
      </c>
      <c r="K86" s="108">
        <v>0.48936170212765956</v>
      </c>
    </row>
    <row r="87" spans="1:11" x14ac:dyDescent="0.25">
      <c r="A87" s="38" t="s">
        <v>743</v>
      </c>
      <c r="B87" s="38">
        <v>311</v>
      </c>
      <c r="C87" s="38">
        <v>266</v>
      </c>
      <c r="D87" s="38">
        <v>262</v>
      </c>
      <c r="E87" s="40">
        <v>0.53910000000000002</v>
      </c>
      <c r="F87" s="38">
        <v>0.84</v>
      </c>
      <c r="G87" s="38">
        <v>23</v>
      </c>
      <c r="H87" s="39">
        <v>3612</v>
      </c>
      <c r="I87" s="38">
        <v>150</v>
      </c>
      <c r="J87" s="42">
        <v>0</v>
      </c>
      <c r="K87" s="108">
        <v>0.5725190839694656</v>
      </c>
    </row>
    <row r="88" spans="1:11" x14ac:dyDescent="0.25">
      <c r="A88" s="38" t="s">
        <v>744</v>
      </c>
      <c r="B88" s="38">
        <v>305</v>
      </c>
      <c r="C88" s="38">
        <v>268</v>
      </c>
      <c r="D88" s="38">
        <v>206</v>
      </c>
      <c r="E88" s="40">
        <v>0.44690000000000002</v>
      </c>
      <c r="F88" s="38">
        <v>0.68</v>
      </c>
      <c r="G88" s="38">
        <v>17</v>
      </c>
      <c r="H88" s="39">
        <v>3270</v>
      </c>
      <c r="I88" s="38">
        <v>99</v>
      </c>
      <c r="J88" s="42">
        <v>0</v>
      </c>
      <c r="K88" s="108">
        <v>0.48058252427184467</v>
      </c>
    </row>
    <row r="89" spans="1:11" x14ac:dyDescent="0.25">
      <c r="A89" s="38" t="s">
        <v>745</v>
      </c>
      <c r="B89" s="38">
        <v>296</v>
      </c>
      <c r="C89" s="38">
        <v>261</v>
      </c>
      <c r="D89" s="38">
        <v>219</v>
      </c>
      <c r="E89" s="40">
        <v>0.4834</v>
      </c>
      <c r="F89" s="38">
        <v>0.74</v>
      </c>
      <c r="G89" s="38">
        <v>20</v>
      </c>
      <c r="H89" s="39">
        <v>3160</v>
      </c>
      <c r="I89" s="38">
        <v>89</v>
      </c>
      <c r="J89" s="42">
        <v>0</v>
      </c>
      <c r="K89" s="108">
        <v>0.40639269406392692</v>
      </c>
    </row>
    <row r="90" spans="1:11" x14ac:dyDescent="0.25">
      <c r="A90" s="38" t="s">
        <v>746</v>
      </c>
      <c r="B90" s="38">
        <v>264</v>
      </c>
      <c r="C90" s="38">
        <v>230</v>
      </c>
      <c r="D90" s="38">
        <v>194</v>
      </c>
      <c r="E90" s="40">
        <v>0.45429999999999998</v>
      </c>
      <c r="F90" s="38">
        <v>0.73</v>
      </c>
      <c r="G90" s="38">
        <v>17</v>
      </c>
      <c r="H90" s="39">
        <v>2739</v>
      </c>
      <c r="I90" s="38">
        <v>62</v>
      </c>
      <c r="J90" s="42">
        <v>0</v>
      </c>
      <c r="K90" s="108">
        <v>0.31958762886597936</v>
      </c>
    </row>
    <row r="91" spans="1:11" x14ac:dyDescent="0.25">
      <c r="A91" s="38" t="s">
        <v>747</v>
      </c>
      <c r="B91" s="38">
        <v>261</v>
      </c>
      <c r="C91" s="38">
        <v>235</v>
      </c>
      <c r="D91" s="38">
        <v>205</v>
      </c>
      <c r="E91" s="40">
        <v>0.54810000000000003</v>
      </c>
      <c r="F91" s="38">
        <v>0.79</v>
      </c>
      <c r="G91" s="38">
        <v>15</v>
      </c>
      <c r="H91" s="39">
        <v>2840</v>
      </c>
      <c r="I91" s="38">
        <v>124</v>
      </c>
      <c r="J91" s="42">
        <v>0</v>
      </c>
      <c r="K91" s="108">
        <v>0.60487804878048779</v>
      </c>
    </row>
    <row r="92" spans="1:11" x14ac:dyDescent="0.25">
      <c r="A92" s="38" t="s">
        <v>748</v>
      </c>
      <c r="B92" s="38">
        <v>256</v>
      </c>
      <c r="C92" s="38">
        <v>217</v>
      </c>
      <c r="D92" s="38">
        <v>183</v>
      </c>
      <c r="E92" s="40">
        <v>0.48799999999999999</v>
      </c>
      <c r="F92" s="38">
        <v>0.71</v>
      </c>
      <c r="G92" s="38">
        <v>19</v>
      </c>
      <c r="H92" s="39">
        <v>2809</v>
      </c>
      <c r="I92" s="38">
        <v>88</v>
      </c>
      <c r="J92" s="42">
        <v>144.25</v>
      </c>
      <c r="K92" s="108">
        <v>0.48087431693989069</v>
      </c>
    </row>
    <row r="93" spans="1:11" x14ac:dyDescent="0.25">
      <c r="A93" s="38" t="s">
        <v>749</v>
      </c>
      <c r="B93" s="38">
        <v>243</v>
      </c>
      <c r="C93" s="38">
        <v>217</v>
      </c>
      <c r="D93" s="38">
        <v>216</v>
      </c>
      <c r="E93" s="40">
        <v>0.58540000000000003</v>
      </c>
      <c r="F93" s="38">
        <v>0.89</v>
      </c>
      <c r="G93" s="38">
        <v>26</v>
      </c>
      <c r="H93" s="39">
        <v>3027</v>
      </c>
      <c r="I93" s="38">
        <v>139</v>
      </c>
      <c r="J93" s="42">
        <v>0</v>
      </c>
      <c r="K93" s="108">
        <v>0.64351851851851849</v>
      </c>
    </row>
    <row r="94" spans="1:11" x14ac:dyDescent="0.25">
      <c r="A94" s="38" t="s">
        <v>750</v>
      </c>
      <c r="B94" s="38">
        <v>226</v>
      </c>
      <c r="C94" s="38">
        <v>196</v>
      </c>
      <c r="D94" s="38">
        <v>184</v>
      </c>
      <c r="E94" s="40">
        <v>0.55759999999999998</v>
      </c>
      <c r="F94" s="38">
        <v>0.81</v>
      </c>
      <c r="G94" s="38">
        <v>18</v>
      </c>
      <c r="H94" s="39">
        <v>2470</v>
      </c>
      <c r="I94" s="38">
        <v>71</v>
      </c>
      <c r="J94" s="42">
        <v>0</v>
      </c>
      <c r="K94" s="108">
        <v>0.3858695652173913</v>
      </c>
    </row>
    <row r="95" spans="1:11" x14ac:dyDescent="0.25">
      <c r="A95" s="38" t="s">
        <v>751</v>
      </c>
      <c r="B95" s="38">
        <v>223</v>
      </c>
      <c r="C95" s="38">
        <v>202</v>
      </c>
      <c r="D95" s="38">
        <v>155</v>
      </c>
      <c r="E95" s="40">
        <v>0.50490000000000002</v>
      </c>
      <c r="F95" s="38">
        <v>0.7</v>
      </c>
      <c r="G95" s="38">
        <v>20</v>
      </c>
      <c r="H95" s="39">
        <v>2505</v>
      </c>
      <c r="I95" s="38">
        <v>105</v>
      </c>
      <c r="J95" s="42">
        <v>0</v>
      </c>
      <c r="K95" s="108">
        <v>0.67741935483870963</v>
      </c>
    </row>
    <row r="96" spans="1:11" x14ac:dyDescent="0.25">
      <c r="A96" s="38" t="s">
        <v>752</v>
      </c>
      <c r="B96" s="38">
        <v>217</v>
      </c>
      <c r="C96" s="38">
        <v>183</v>
      </c>
      <c r="D96" s="38">
        <v>157</v>
      </c>
      <c r="E96" s="40">
        <v>0.50970000000000004</v>
      </c>
      <c r="F96" s="38">
        <v>0.72</v>
      </c>
      <c r="G96" s="38">
        <v>14</v>
      </c>
      <c r="H96" s="39">
        <v>2225</v>
      </c>
      <c r="I96" s="38">
        <v>60</v>
      </c>
      <c r="J96" s="42">
        <v>0</v>
      </c>
      <c r="K96" s="108">
        <v>0.38216560509554143</v>
      </c>
    </row>
    <row r="97" spans="1:11" x14ac:dyDescent="0.25">
      <c r="A97" s="38" t="s">
        <v>753</v>
      </c>
      <c r="B97" s="38">
        <v>212</v>
      </c>
      <c r="C97" s="38">
        <v>190</v>
      </c>
      <c r="D97" s="38">
        <v>132</v>
      </c>
      <c r="E97" s="40">
        <v>0.43419999999999997</v>
      </c>
      <c r="F97" s="38">
        <v>0.62</v>
      </c>
      <c r="G97" s="38">
        <v>17</v>
      </c>
      <c r="H97" s="39">
        <v>2192</v>
      </c>
      <c r="I97" s="38">
        <v>87</v>
      </c>
      <c r="J97" s="42">
        <v>144.25</v>
      </c>
      <c r="K97" s="108">
        <v>0.65909090909090906</v>
      </c>
    </row>
    <row r="98" spans="1:11" x14ac:dyDescent="0.25">
      <c r="A98" s="38" t="s">
        <v>754</v>
      </c>
      <c r="B98" s="38">
        <v>206</v>
      </c>
      <c r="C98" s="38">
        <v>179</v>
      </c>
      <c r="D98" s="38">
        <v>170</v>
      </c>
      <c r="E98" s="40">
        <v>0.58620000000000005</v>
      </c>
      <c r="F98" s="38">
        <v>0.83</v>
      </c>
      <c r="G98" s="38">
        <v>19</v>
      </c>
      <c r="H98" s="39">
        <v>2303</v>
      </c>
      <c r="I98" s="38">
        <v>67</v>
      </c>
      <c r="J98" s="42">
        <v>0</v>
      </c>
      <c r="K98" s="108">
        <v>0.39411764705882352</v>
      </c>
    </row>
    <row r="99" spans="1:11" x14ac:dyDescent="0.25">
      <c r="A99" s="38" t="s">
        <v>755</v>
      </c>
      <c r="B99" s="38">
        <v>203</v>
      </c>
      <c r="C99" s="38">
        <v>185</v>
      </c>
      <c r="D99" s="38">
        <v>163</v>
      </c>
      <c r="E99" s="40">
        <v>0.56599999999999995</v>
      </c>
      <c r="F99" s="38">
        <v>0.8</v>
      </c>
      <c r="G99" s="38">
        <v>23</v>
      </c>
      <c r="H99" s="39">
        <v>2220</v>
      </c>
      <c r="I99" s="38">
        <v>69</v>
      </c>
      <c r="J99" s="42">
        <v>0</v>
      </c>
      <c r="K99" s="108">
        <v>0.42331288343558282</v>
      </c>
    </row>
    <row r="100" spans="1:11" x14ac:dyDescent="0.25">
      <c r="A100" s="38" t="s">
        <v>756</v>
      </c>
      <c r="B100" s="38">
        <v>198</v>
      </c>
      <c r="C100" s="38">
        <v>167</v>
      </c>
      <c r="D100" s="38">
        <v>135</v>
      </c>
      <c r="E100" s="40">
        <v>0.47039999999999998</v>
      </c>
      <c r="F100" s="38">
        <v>0.68</v>
      </c>
      <c r="G100" s="38">
        <v>18</v>
      </c>
      <c r="H100" s="39">
        <v>2058</v>
      </c>
      <c r="I100" s="38">
        <v>55</v>
      </c>
      <c r="J100" s="42">
        <v>0</v>
      </c>
      <c r="K100" s="108">
        <v>0.40740740740740738</v>
      </c>
    </row>
    <row r="101" spans="1:11" x14ac:dyDescent="0.25">
      <c r="A101" s="38" t="s">
        <v>757</v>
      </c>
      <c r="B101" s="38">
        <v>187</v>
      </c>
      <c r="C101" s="38">
        <v>166</v>
      </c>
      <c r="D101" s="38">
        <v>124</v>
      </c>
      <c r="E101" s="40">
        <v>0.48249999999999998</v>
      </c>
      <c r="F101" s="38">
        <v>0.66</v>
      </c>
      <c r="G101" s="38">
        <v>20</v>
      </c>
      <c r="H101" s="39">
        <v>1974</v>
      </c>
      <c r="I101" s="38">
        <v>68</v>
      </c>
      <c r="J101" s="42">
        <v>0</v>
      </c>
      <c r="K101" s="108">
        <v>0.54838709677419351</v>
      </c>
    </row>
    <row r="102" spans="1:11" x14ac:dyDescent="0.25">
      <c r="A102" s="38" t="s">
        <v>758</v>
      </c>
      <c r="B102" s="38">
        <v>185</v>
      </c>
      <c r="C102" s="38">
        <v>165</v>
      </c>
      <c r="D102" s="38">
        <v>137</v>
      </c>
      <c r="E102" s="40">
        <v>0.53310000000000002</v>
      </c>
      <c r="F102" s="38">
        <v>0.74</v>
      </c>
      <c r="G102" s="38">
        <v>16</v>
      </c>
      <c r="H102" s="39">
        <v>1916</v>
      </c>
      <c r="I102" s="38">
        <v>71</v>
      </c>
      <c r="J102" s="42">
        <v>0</v>
      </c>
      <c r="K102" s="108">
        <v>0.51824817518248179</v>
      </c>
    </row>
    <row r="103" spans="1:11" x14ac:dyDescent="0.25">
      <c r="A103" s="38" t="s">
        <v>759</v>
      </c>
      <c r="B103" s="38">
        <v>172</v>
      </c>
      <c r="C103" s="38">
        <v>155</v>
      </c>
      <c r="D103" s="38">
        <v>154</v>
      </c>
      <c r="E103" s="40">
        <v>0.52200000000000002</v>
      </c>
      <c r="F103" s="38">
        <v>0.9</v>
      </c>
      <c r="G103" s="38">
        <v>16</v>
      </c>
      <c r="H103" s="39">
        <v>1931</v>
      </c>
      <c r="I103" s="38">
        <v>80</v>
      </c>
      <c r="J103" s="42">
        <v>0</v>
      </c>
      <c r="K103" s="108">
        <v>0.51948051948051943</v>
      </c>
    </row>
    <row r="104" spans="1:11" x14ac:dyDescent="0.25">
      <c r="A104" s="38" t="s">
        <v>760</v>
      </c>
      <c r="B104" s="38">
        <v>151</v>
      </c>
      <c r="C104" s="38">
        <v>137</v>
      </c>
      <c r="D104" s="38">
        <v>98</v>
      </c>
      <c r="E104" s="40">
        <v>0.40500000000000003</v>
      </c>
      <c r="F104" s="38">
        <v>0.65</v>
      </c>
      <c r="G104" s="38">
        <v>16</v>
      </c>
      <c r="H104" s="39">
        <v>1522</v>
      </c>
      <c r="I104" s="38">
        <v>26</v>
      </c>
      <c r="J104" s="42">
        <v>0</v>
      </c>
      <c r="K104" s="108">
        <v>0.26530612244897961</v>
      </c>
    </row>
    <row r="105" spans="1:11" x14ac:dyDescent="0.25">
      <c r="A105" s="38" t="s">
        <v>761</v>
      </c>
      <c r="B105" s="38">
        <v>147</v>
      </c>
      <c r="C105" s="38">
        <v>125</v>
      </c>
      <c r="D105" s="38">
        <v>106</v>
      </c>
      <c r="E105" s="40">
        <v>0.50719999999999998</v>
      </c>
      <c r="F105" s="38">
        <v>0.72</v>
      </c>
      <c r="G105" s="38">
        <v>16</v>
      </c>
      <c r="H105" s="39">
        <v>1442</v>
      </c>
      <c r="I105" s="38">
        <v>42</v>
      </c>
      <c r="J105" s="42">
        <v>0</v>
      </c>
      <c r="K105" s="108">
        <v>0.39622641509433965</v>
      </c>
    </row>
    <row r="106" spans="1:11" x14ac:dyDescent="0.25">
      <c r="A106" s="38" t="s">
        <v>762</v>
      </c>
      <c r="B106" s="38">
        <v>143</v>
      </c>
      <c r="C106" s="38">
        <v>128</v>
      </c>
      <c r="D106" s="38">
        <v>100</v>
      </c>
      <c r="E106" s="40">
        <v>0.4854</v>
      </c>
      <c r="F106" s="38">
        <v>0.7</v>
      </c>
      <c r="G106" s="38">
        <v>21</v>
      </c>
      <c r="H106" s="39">
        <v>1478</v>
      </c>
      <c r="I106" s="38">
        <v>56</v>
      </c>
      <c r="J106" s="42">
        <v>244.13</v>
      </c>
      <c r="K106" s="108">
        <v>0.56000000000000005</v>
      </c>
    </row>
    <row r="107" spans="1:11" x14ac:dyDescent="0.25">
      <c r="A107" s="38" t="s">
        <v>763</v>
      </c>
      <c r="B107" s="38">
        <v>131</v>
      </c>
      <c r="C107" s="38">
        <v>107</v>
      </c>
      <c r="D107" s="38">
        <v>108</v>
      </c>
      <c r="E107" s="40">
        <v>0.56840000000000002</v>
      </c>
      <c r="F107" s="38">
        <v>0.82</v>
      </c>
      <c r="G107" s="38">
        <v>22</v>
      </c>
      <c r="H107" s="39">
        <v>1514</v>
      </c>
      <c r="I107" s="38">
        <v>52</v>
      </c>
      <c r="J107" s="42">
        <v>0</v>
      </c>
      <c r="K107" s="108">
        <v>0.48148148148148145</v>
      </c>
    </row>
    <row r="108" spans="1:11" x14ac:dyDescent="0.25">
      <c r="A108" s="38" t="s">
        <v>764</v>
      </c>
      <c r="B108" s="38">
        <v>126</v>
      </c>
      <c r="C108" s="38">
        <v>114</v>
      </c>
      <c r="D108" s="38">
        <v>85</v>
      </c>
      <c r="E108" s="40">
        <v>0.46700000000000003</v>
      </c>
      <c r="F108" s="38">
        <v>0.67</v>
      </c>
      <c r="G108" s="38">
        <v>12</v>
      </c>
      <c r="H108" s="39">
        <v>1225</v>
      </c>
      <c r="I108" s="38">
        <v>23</v>
      </c>
      <c r="J108" s="42">
        <v>0</v>
      </c>
      <c r="K108" s="108">
        <v>0.27058823529411763</v>
      </c>
    </row>
    <row r="109" spans="1:11" x14ac:dyDescent="0.25">
      <c r="A109" s="38" t="s">
        <v>765</v>
      </c>
      <c r="B109" s="38">
        <v>109</v>
      </c>
      <c r="C109" s="38">
        <v>94</v>
      </c>
      <c r="D109" s="38">
        <v>49</v>
      </c>
      <c r="E109" s="40">
        <v>0.29699999999999999</v>
      </c>
      <c r="F109" s="38">
        <v>0.45</v>
      </c>
      <c r="G109" s="38">
        <v>13</v>
      </c>
      <c r="H109" s="38">
        <v>962</v>
      </c>
      <c r="I109" s="38">
        <v>19</v>
      </c>
      <c r="J109" s="42">
        <v>0</v>
      </c>
      <c r="K109" s="108">
        <v>0.38775510204081631</v>
      </c>
    </row>
    <row r="110" spans="1:11" x14ac:dyDescent="0.25">
      <c r="A110" s="38" t="s">
        <v>766</v>
      </c>
      <c r="B110" s="38">
        <v>95</v>
      </c>
      <c r="C110" s="38">
        <v>83</v>
      </c>
      <c r="D110" s="38">
        <v>62</v>
      </c>
      <c r="E110" s="40">
        <v>0.41060000000000002</v>
      </c>
      <c r="F110" s="38">
        <v>0.65</v>
      </c>
      <c r="G110" s="38">
        <v>12</v>
      </c>
      <c r="H110" s="38">
        <v>876</v>
      </c>
      <c r="I110" s="38">
        <v>18</v>
      </c>
      <c r="J110" s="42">
        <v>0</v>
      </c>
      <c r="K110" s="108">
        <v>0.29032258064516131</v>
      </c>
    </row>
    <row r="111" spans="1:11" x14ac:dyDescent="0.25">
      <c r="A111" s="38" t="s">
        <v>767</v>
      </c>
      <c r="B111" s="38">
        <v>88</v>
      </c>
      <c r="C111" s="38">
        <v>77</v>
      </c>
      <c r="D111" s="38">
        <v>65</v>
      </c>
      <c r="E111" s="40">
        <v>0.51590000000000003</v>
      </c>
      <c r="F111" s="38">
        <v>0.74</v>
      </c>
      <c r="G111" s="38">
        <v>14</v>
      </c>
      <c r="H111" s="38">
        <v>894</v>
      </c>
      <c r="I111" s="38">
        <v>23</v>
      </c>
      <c r="J111" s="42">
        <v>0</v>
      </c>
      <c r="K111" s="108">
        <v>0.35384615384615387</v>
      </c>
    </row>
    <row r="112" spans="1:11" x14ac:dyDescent="0.25">
      <c r="A112" s="38" t="s">
        <v>768</v>
      </c>
      <c r="B112" s="38">
        <v>82</v>
      </c>
      <c r="C112" s="38">
        <v>74</v>
      </c>
      <c r="D112" s="38">
        <v>44</v>
      </c>
      <c r="E112" s="40">
        <v>0.32590000000000002</v>
      </c>
      <c r="F112" s="38">
        <v>0.54</v>
      </c>
      <c r="G112" s="38">
        <v>7</v>
      </c>
      <c r="H112" s="38">
        <v>818</v>
      </c>
      <c r="I112" s="38">
        <v>11</v>
      </c>
      <c r="J112" s="42">
        <v>0</v>
      </c>
      <c r="K112" s="108">
        <v>0.25</v>
      </c>
    </row>
    <row r="113" spans="1:11" x14ac:dyDescent="0.25">
      <c r="A113" s="38" t="s">
        <v>769</v>
      </c>
      <c r="B113" s="38">
        <v>76</v>
      </c>
      <c r="C113" s="38">
        <v>73</v>
      </c>
      <c r="D113" s="38">
        <v>40</v>
      </c>
      <c r="E113" s="40">
        <v>0.38100000000000001</v>
      </c>
      <c r="F113" s="38">
        <v>0.53</v>
      </c>
      <c r="G113" s="38">
        <v>15</v>
      </c>
      <c r="H113" s="38">
        <v>688</v>
      </c>
      <c r="I113" s="38">
        <v>16</v>
      </c>
      <c r="J113" s="42">
        <v>0</v>
      </c>
      <c r="K113" s="108">
        <v>0.4</v>
      </c>
    </row>
    <row r="114" spans="1:11" x14ac:dyDescent="0.25">
      <c r="A114" s="38" t="s">
        <v>770</v>
      </c>
      <c r="B114" s="38">
        <v>73</v>
      </c>
      <c r="C114" s="38">
        <v>69</v>
      </c>
      <c r="D114" s="38">
        <v>65</v>
      </c>
      <c r="E114" s="40">
        <v>0.58040000000000003</v>
      </c>
      <c r="F114" s="38">
        <v>0.89</v>
      </c>
      <c r="G114" s="38">
        <v>25</v>
      </c>
      <c r="H114" s="38">
        <v>919</v>
      </c>
      <c r="I114" s="38">
        <v>40</v>
      </c>
      <c r="J114" s="42">
        <v>0</v>
      </c>
      <c r="K114" s="108">
        <v>0.61538461538461542</v>
      </c>
    </row>
    <row r="115" spans="1:11" x14ac:dyDescent="0.25">
      <c r="A115" s="38" t="s">
        <v>771</v>
      </c>
      <c r="B115" s="38">
        <v>70</v>
      </c>
      <c r="C115" s="38">
        <v>64</v>
      </c>
      <c r="D115" s="38">
        <v>49</v>
      </c>
      <c r="E115" s="40">
        <v>0.44140000000000001</v>
      </c>
      <c r="F115" s="38">
        <v>0.7</v>
      </c>
      <c r="G115" s="38">
        <v>17</v>
      </c>
      <c r="H115" s="38">
        <v>776</v>
      </c>
      <c r="I115" s="38">
        <v>14</v>
      </c>
      <c r="J115" s="42">
        <v>0</v>
      </c>
      <c r="K115" s="108">
        <v>0.2857142857142857</v>
      </c>
    </row>
    <row r="116" spans="1:11" x14ac:dyDescent="0.25">
      <c r="A116" s="38" t="s">
        <v>772</v>
      </c>
      <c r="B116" s="38">
        <v>69</v>
      </c>
      <c r="C116" s="38">
        <v>63</v>
      </c>
      <c r="D116" s="38">
        <v>55</v>
      </c>
      <c r="E116" s="40">
        <v>0.4955</v>
      </c>
      <c r="F116" s="38">
        <v>0.8</v>
      </c>
      <c r="G116" s="38">
        <v>13</v>
      </c>
      <c r="H116" s="38">
        <v>699</v>
      </c>
      <c r="I116" s="38">
        <v>14</v>
      </c>
      <c r="J116" s="42">
        <v>0</v>
      </c>
      <c r="K116" s="108">
        <v>0.25454545454545452</v>
      </c>
    </row>
    <row r="117" spans="1:11" x14ac:dyDescent="0.25">
      <c r="A117" s="38" t="s">
        <v>773</v>
      </c>
      <c r="B117" s="38">
        <v>68</v>
      </c>
      <c r="C117" s="38">
        <v>56</v>
      </c>
      <c r="D117" s="38">
        <v>36</v>
      </c>
      <c r="E117" s="40">
        <v>0.33329999999999999</v>
      </c>
      <c r="F117" s="38">
        <v>0.53</v>
      </c>
      <c r="G117" s="38">
        <v>10</v>
      </c>
      <c r="H117" s="38">
        <v>623</v>
      </c>
      <c r="I117" s="38">
        <v>21</v>
      </c>
      <c r="J117" s="42">
        <v>0</v>
      </c>
      <c r="K117" s="108">
        <v>0.58333333333333337</v>
      </c>
    </row>
    <row r="118" spans="1:11" x14ac:dyDescent="0.25">
      <c r="A118" s="38" t="s">
        <v>774</v>
      </c>
      <c r="B118" s="38">
        <v>62</v>
      </c>
      <c r="C118" s="38">
        <v>53</v>
      </c>
      <c r="D118" s="38">
        <v>43</v>
      </c>
      <c r="E118" s="40">
        <v>0.50590000000000002</v>
      </c>
      <c r="F118" s="38">
        <v>0.69</v>
      </c>
      <c r="G118" s="38">
        <v>16</v>
      </c>
      <c r="H118" s="38">
        <v>642</v>
      </c>
      <c r="I118" s="38">
        <v>21</v>
      </c>
      <c r="J118" s="42">
        <v>0</v>
      </c>
      <c r="K118" s="108">
        <v>0.48837209302325579</v>
      </c>
    </row>
    <row r="119" spans="1:11" x14ac:dyDescent="0.25">
      <c r="A119" s="38" t="s">
        <v>775</v>
      </c>
      <c r="B119" s="38">
        <v>59</v>
      </c>
      <c r="C119" s="38">
        <v>52</v>
      </c>
      <c r="D119" s="38">
        <v>45</v>
      </c>
      <c r="E119" s="40">
        <v>0.53569999999999995</v>
      </c>
      <c r="F119" s="38">
        <v>0.76</v>
      </c>
      <c r="G119" s="38">
        <v>15</v>
      </c>
      <c r="H119" s="38">
        <v>660</v>
      </c>
      <c r="I119" s="38">
        <v>22</v>
      </c>
      <c r="J119" s="42">
        <v>0</v>
      </c>
      <c r="K119" s="108">
        <v>0.48888888888888887</v>
      </c>
    </row>
    <row r="120" spans="1:11" x14ac:dyDescent="0.25">
      <c r="A120" s="38" t="s">
        <v>776</v>
      </c>
      <c r="B120" s="38">
        <v>43</v>
      </c>
      <c r="C120" s="38">
        <v>33</v>
      </c>
      <c r="D120" s="38">
        <v>39</v>
      </c>
      <c r="E120" s="40">
        <v>0.54169999999999996</v>
      </c>
      <c r="F120" s="38">
        <v>0.91</v>
      </c>
      <c r="G120" s="38">
        <v>22</v>
      </c>
      <c r="H120" s="38">
        <v>496</v>
      </c>
      <c r="I120" s="38">
        <v>17</v>
      </c>
      <c r="J120" s="42">
        <v>0</v>
      </c>
      <c r="K120" s="108">
        <v>0.4358974358974359</v>
      </c>
    </row>
    <row r="121" spans="1:11" x14ac:dyDescent="0.25">
      <c r="A121" s="38" t="s">
        <v>777</v>
      </c>
      <c r="B121" s="38">
        <v>38</v>
      </c>
      <c r="C121" s="38">
        <v>36</v>
      </c>
      <c r="D121" s="38">
        <v>12</v>
      </c>
      <c r="E121" s="40">
        <v>0.2727</v>
      </c>
      <c r="F121" s="38">
        <v>0.32</v>
      </c>
      <c r="G121" s="38">
        <v>3</v>
      </c>
      <c r="H121" s="38">
        <v>282</v>
      </c>
      <c r="I121" s="38">
        <v>4</v>
      </c>
      <c r="J121" s="42">
        <v>0</v>
      </c>
      <c r="K121" s="108">
        <v>0.33333333333333331</v>
      </c>
    </row>
    <row r="122" spans="1:11" x14ac:dyDescent="0.25">
      <c r="A122" s="38" t="s">
        <v>778</v>
      </c>
      <c r="B122" s="38">
        <v>37</v>
      </c>
      <c r="C122" s="38">
        <v>31</v>
      </c>
      <c r="D122" s="38">
        <v>29</v>
      </c>
      <c r="E122" s="40">
        <v>0.48330000000000001</v>
      </c>
      <c r="F122" s="38">
        <v>0.78</v>
      </c>
      <c r="G122" s="38">
        <v>17</v>
      </c>
      <c r="H122" s="38">
        <v>415</v>
      </c>
      <c r="I122" s="38">
        <v>14</v>
      </c>
      <c r="J122" s="42">
        <v>0</v>
      </c>
      <c r="K122" s="108">
        <v>0.48275862068965519</v>
      </c>
    </row>
    <row r="123" spans="1:11" x14ac:dyDescent="0.25">
      <c r="A123" s="38" t="s">
        <v>779</v>
      </c>
      <c r="B123" s="38">
        <v>34</v>
      </c>
      <c r="C123" s="38">
        <v>30</v>
      </c>
      <c r="D123" s="38">
        <v>23</v>
      </c>
      <c r="E123" s="40">
        <v>0.41070000000000001</v>
      </c>
      <c r="F123" s="38">
        <v>0.68</v>
      </c>
      <c r="G123" s="38">
        <v>15</v>
      </c>
      <c r="H123" s="38">
        <v>359</v>
      </c>
      <c r="I123" s="38">
        <v>7</v>
      </c>
      <c r="J123" s="42">
        <v>0</v>
      </c>
      <c r="K123" s="108">
        <v>0.30434782608695654</v>
      </c>
    </row>
    <row r="124" spans="1:11" x14ac:dyDescent="0.25">
      <c r="A124" s="38" t="s">
        <v>780</v>
      </c>
      <c r="B124" s="38">
        <v>33</v>
      </c>
      <c r="C124" s="38">
        <v>32</v>
      </c>
      <c r="D124" s="38">
        <v>31</v>
      </c>
      <c r="E124" s="40">
        <v>0.59619999999999995</v>
      </c>
      <c r="F124" s="38">
        <v>0.94</v>
      </c>
      <c r="G124" s="38">
        <v>26</v>
      </c>
      <c r="H124" s="38">
        <v>361</v>
      </c>
      <c r="I124" s="38">
        <v>4</v>
      </c>
      <c r="J124" s="42">
        <v>0</v>
      </c>
      <c r="K124" s="108">
        <v>0.12903225806451613</v>
      </c>
    </row>
    <row r="125" spans="1:11" x14ac:dyDescent="0.25">
      <c r="A125" s="38" t="s">
        <v>781</v>
      </c>
      <c r="B125" s="38">
        <v>33</v>
      </c>
      <c r="C125" s="38">
        <v>30</v>
      </c>
      <c r="D125" s="38">
        <v>20</v>
      </c>
      <c r="E125" s="40">
        <v>0.36359999999999998</v>
      </c>
      <c r="F125" s="38">
        <v>0.61</v>
      </c>
      <c r="G125" s="38">
        <v>24</v>
      </c>
      <c r="H125" s="38">
        <v>389</v>
      </c>
      <c r="I125" s="38">
        <v>27</v>
      </c>
      <c r="J125" s="42">
        <v>0</v>
      </c>
      <c r="K125" s="108">
        <v>1.35</v>
      </c>
    </row>
    <row r="126" spans="1:11" x14ac:dyDescent="0.25">
      <c r="A126" s="38" t="s">
        <v>782</v>
      </c>
      <c r="B126" s="38">
        <v>29</v>
      </c>
      <c r="C126" s="38">
        <v>26</v>
      </c>
      <c r="D126" s="38">
        <v>24</v>
      </c>
      <c r="E126" s="43">
        <v>0.5</v>
      </c>
      <c r="F126" s="38">
        <v>0.83</v>
      </c>
      <c r="G126" s="38">
        <v>27</v>
      </c>
      <c r="H126" s="38">
        <v>337</v>
      </c>
      <c r="I126" s="38">
        <v>5</v>
      </c>
      <c r="J126" s="42">
        <v>0</v>
      </c>
      <c r="K126" s="108">
        <v>0.20833333333333334</v>
      </c>
    </row>
    <row r="127" spans="1:11" x14ac:dyDescent="0.25">
      <c r="A127" s="38" t="s">
        <v>783</v>
      </c>
      <c r="B127" s="38">
        <v>29</v>
      </c>
      <c r="C127" s="38">
        <v>25</v>
      </c>
      <c r="D127" s="38">
        <v>20</v>
      </c>
      <c r="E127" s="40">
        <v>0.48780000000000001</v>
      </c>
      <c r="F127" s="38">
        <v>0.69</v>
      </c>
      <c r="G127" s="38">
        <v>7</v>
      </c>
      <c r="H127" s="38">
        <v>271</v>
      </c>
      <c r="I127" s="38">
        <v>6</v>
      </c>
      <c r="J127" s="42">
        <v>0</v>
      </c>
      <c r="K127" s="108">
        <v>0.3</v>
      </c>
    </row>
    <row r="128" spans="1:11" x14ac:dyDescent="0.25">
      <c r="A128" s="38" t="s">
        <v>784</v>
      </c>
      <c r="B128" s="38">
        <v>27</v>
      </c>
      <c r="C128" s="38">
        <v>25</v>
      </c>
      <c r="D128" s="38">
        <v>23</v>
      </c>
      <c r="E128" s="40">
        <v>0.53490000000000004</v>
      </c>
      <c r="F128" s="38">
        <v>0.85</v>
      </c>
      <c r="G128" s="38">
        <v>11</v>
      </c>
      <c r="H128" s="38">
        <v>260</v>
      </c>
      <c r="I128" s="38">
        <v>6</v>
      </c>
      <c r="J128" s="42">
        <v>0</v>
      </c>
      <c r="K128" s="108">
        <v>0.2608695652173913</v>
      </c>
    </row>
    <row r="129" spans="1:11" x14ac:dyDescent="0.25">
      <c r="A129" s="38" t="s">
        <v>785</v>
      </c>
      <c r="B129" s="38">
        <v>25</v>
      </c>
      <c r="C129" s="38">
        <v>24</v>
      </c>
      <c r="D129" s="38">
        <v>11</v>
      </c>
      <c r="E129" s="40">
        <v>0.26829999999999998</v>
      </c>
      <c r="F129" s="38">
        <v>0.44</v>
      </c>
      <c r="G129" s="38">
        <v>1</v>
      </c>
      <c r="H129" s="38">
        <v>214</v>
      </c>
      <c r="I129" s="38">
        <v>2</v>
      </c>
      <c r="J129" s="42">
        <v>0</v>
      </c>
      <c r="K129" s="108">
        <v>0.18181818181818182</v>
      </c>
    </row>
    <row r="130" spans="1:11" x14ac:dyDescent="0.25">
      <c r="A130" s="38" t="s">
        <v>786</v>
      </c>
      <c r="B130" s="38">
        <v>20</v>
      </c>
      <c r="C130" s="38">
        <v>19</v>
      </c>
      <c r="D130" s="38">
        <v>14</v>
      </c>
      <c r="E130" s="40">
        <v>0.4375</v>
      </c>
      <c r="F130" s="38">
        <v>0.7</v>
      </c>
      <c r="G130" s="38">
        <v>20</v>
      </c>
      <c r="H130" s="38">
        <v>255</v>
      </c>
      <c r="I130" s="38">
        <v>10</v>
      </c>
      <c r="J130" s="42">
        <v>0</v>
      </c>
      <c r="K130" s="108">
        <v>0.7142857142857143</v>
      </c>
    </row>
    <row r="131" spans="1:11" x14ac:dyDescent="0.25">
      <c r="A131" s="38" t="s">
        <v>787</v>
      </c>
      <c r="B131" s="38">
        <v>18</v>
      </c>
      <c r="C131" s="38">
        <v>18</v>
      </c>
      <c r="D131" s="38">
        <v>11</v>
      </c>
      <c r="E131" s="43">
        <v>0.55000000000000004</v>
      </c>
      <c r="F131" s="38">
        <v>0.61</v>
      </c>
      <c r="G131" s="38">
        <v>13</v>
      </c>
      <c r="H131" s="38">
        <v>149</v>
      </c>
      <c r="I131" s="38">
        <v>0</v>
      </c>
      <c r="J131" s="42">
        <v>0</v>
      </c>
      <c r="K131" s="108">
        <v>0</v>
      </c>
    </row>
    <row r="132" spans="1:11" x14ac:dyDescent="0.25">
      <c r="A132" s="38" t="s">
        <v>788</v>
      </c>
      <c r="B132" s="38">
        <v>14</v>
      </c>
      <c r="C132" s="38">
        <v>13</v>
      </c>
      <c r="D132" s="38">
        <v>10</v>
      </c>
      <c r="E132" s="40">
        <v>0.41670000000000001</v>
      </c>
      <c r="F132" s="38">
        <v>0.71</v>
      </c>
      <c r="G132" s="38">
        <v>2</v>
      </c>
      <c r="H132" s="38">
        <v>138</v>
      </c>
      <c r="I132" s="38">
        <v>1</v>
      </c>
      <c r="J132" s="42">
        <v>0</v>
      </c>
      <c r="K132" s="108">
        <v>0.1</v>
      </c>
    </row>
    <row r="133" spans="1:11" x14ac:dyDescent="0.25">
      <c r="A133" s="113" t="s">
        <v>789</v>
      </c>
      <c r="B133" s="113">
        <v>13</v>
      </c>
      <c r="C133" s="113">
        <v>11</v>
      </c>
      <c r="D133" s="113">
        <v>10</v>
      </c>
      <c r="E133" s="114">
        <v>0.55559999999999998</v>
      </c>
      <c r="F133" s="113">
        <v>0.77</v>
      </c>
      <c r="G133" s="113">
        <v>24</v>
      </c>
      <c r="H133" s="113">
        <v>129</v>
      </c>
      <c r="I133" s="113">
        <v>8</v>
      </c>
      <c r="J133" s="115">
        <v>0</v>
      </c>
      <c r="K133" s="116">
        <v>0.8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CF26-ACF1-4E9A-98FE-B5B5340BFC76}">
  <dimension ref="A1:K4"/>
  <sheetViews>
    <sheetView topLeftCell="F1" workbookViewId="0">
      <selection sqref="A1:A1048576"/>
    </sheetView>
  </sheetViews>
  <sheetFormatPr defaultRowHeight="15" x14ac:dyDescent="0.25"/>
  <cols>
    <col min="3" max="3" width="11.42578125" customWidth="1"/>
    <col min="4" max="4" width="16.28515625" customWidth="1"/>
    <col min="5" max="5" width="16.5703125" customWidth="1"/>
    <col min="6" max="6" width="23.28515625" customWidth="1"/>
    <col min="7" max="7" width="29.42578125" customWidth="1"/>
    <col min="8" max="8" width="12.42578125" customWidth="1"/>
    <col min="9" max="9" width="11.7109375" customWidth="1"/>
    <col min="10" max="10" width="14" customWidth="1"/>
    <col min="11" max="11" width="38.5703125" customWidth="1"/>
  </cols>
  <sheetData>
    <row r="1" spans="1:11" ht="36.75" customHeight="1" x14ac:dyDescent="0.25">
      <c r="A1" s="45" t="s">
        <v>790</v>
      </c>
      <c r="B1" s="45" t="s">
        <v>27</v>
      </c>
      <c r="C1" s="45" t="s">
        <v>14</v>
      </c>
      <c r="D1" s="45" t="s">
        <v>15</v>
      </c>
      <c r="E1" s="45" t="s">
        <v>16</v>
      </c>
      <c r="F1" s="45" t="s">
        <v>0</v>
      </c>
      <c r="G1" s="45" t="s">
        <v>644</v>
      </c>
      <c r="H1" s="45" t="s">
        <v>4</v>
      </c>
      <c r="I1" s="45" t="s">
        <v>31</v>
      </c>
      <c r="J1" s="45" t="s">
        <v>6</v>
      </c>
      <c r="K1" s="47" t="s">
        <v>645</v>
      </c>
    </row>
    <row r="2" spans="1:11" x14ac:dyDescent="0.25">
      <c r="A2" s="17" t="s">
        <v>791</v>
      </c>
      <c r="B2" s="34">
        <v>35280</v>
      </c>
      <c r="C2" s="34">
        <v>33894</v>
      </c>
      <c r="D2" s="34">
        <v>19301</v>
      </c>
      <c r="E2" s="35">
        <v>0.40300000000000002</v>
      </c>
      <c r="F2" s="17">
        <v>0.55000000000000004</v>
      </c>
      <c r="G2" s="17">
        <v>10</v>
      </c>
      <c r="H2" s="34">
        <v>302871</v>
      </c>
      <c r="I2" s="37">
        <v>7273</v>
      </c>
      <c r="J2" s="24">
        <v>1181.8599999999999</v>
      </c>
      <c r="K2" s="44">
        <v>0.37681985389358064</v>
      </c>
    </row>
    <row r="3" spans="1:11" x14ac:dyDescent="0.25">
      <c r="A3" s="17" t="s">
        <v>792</v>
      </c>
      <c r="B3" s="34">
        <v>13531</v>
      </c>
      <c r="C3" s="34">
        <v>11939</v>
      </c>
      <c r="D3" s="34">
        <v>10296</v>
      </c>
      <c r="E3" s="35">
        <v>0.50680000000000003</v>
      </c>
      <c r="F3" s="17">
        <v>0.76</v>
      </c>
      <c r="G3" s="17">
        <v>17</v>
      </c>
      <c r="H3" s="34">
        <v>145940</v>
      </c>
      <c r="I3" s="37">
        <v>4867</v>
      </c>
      <c r="J3" s="24">
        <v>802.77</v>
      </c>
      <c r="K3" s="44">
        <v>0.47270784770784768</v>
      </c>
    </row>
    <row r="4" spans="1:11" x14ac:dyDescent="0.25">
      <c r="A4" s="48" t="s">
        <v>793</v>
      </c>
      <c r="B4" s="49">
        <v>12092</v>
      </c>
      <c r="C4" s="49">
        <v>10832</v>
      </c>
      <c r="D4" s="49">
        <v>8657</v>
      </c>
      <c r="E4" s="50">
        <v>0.40749999999999997</v>
      </c>
      <c r="F4" s="48">
        <v>0.72</v>
      </c>
      <c r="G4" s="48">
        <v>12</v>
      </c>
      <c r="H4" s="49">
        <v>127667</v>
      </c>
      <c r="I4" s="51">
        <v>2710</v>
      </c>
      <c r="J4" s="52">
        <v>3085.18</v>
      </c>
      <c r="K4" s="53">
        <v>0.3130414693311771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FD03-A2AF-4A1F-A324-A6D6EB6F7131}">
  <dimension ref="A1:C2"/>
  <sheetViews>
    <sheetView workbookViewId="0">
      <selection activeCell="J12" sqref="J12"/>
    </sheetView>
  </sheetViews>
  <sheetFormatPr defaultRowHeight="15" x14ac:dyDescent="0.25"/>
  <cols>
    <col min="2" max="2" width="13.85546875" customWidth="1"/>
    <col min="3" max="3" width="16.42578125" customWidth="1"/>
  </cols>
  <sheetData>
    <row r="1" spans="1:3" x14ac:dyDescent="0.25">
      <c r="A1" s="54" t="s">
        <v>12</v>
      </c>
      <c r="B1" s="55" t="s">
        <v>14</v>
      </c>
      <c r="C1" s="56" t="s">
        <v>948</v>
      </c>
    </row>
    <row r="2" spans="1:3" x14ac:dyDescent="0.25">
      <c r="A2" s="57">
        <v>1</v>
      </c>
      <c r="B2" s="58">
        <v>57000</v>
      </c>
      <c r="C2" s="59">
        <v>10000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 acquisition</vt:lpstr>
      <vt:lpstr>Traffic acquisition</vt:lpstr>
      <vt:lpstr>Metrics</vt:lpstr>
      <vt:lpstr>Events</vt:lpstr>
      <vt:lpstr>Landing Page</vt:lpstr>
      <vt:lpstr>Audience</vt:lpstr>
      <vt:lpstr>Demographic details Country</vt:lpstr>
      <vt:lpstr>Demographic details Age</vt:lpstr>
      <vt:lpstr>Demographic details Interest</vt:lpstr>
      <vt:lpstr>Demographic details Gender</vt:lpstr>
      <vt:lpstr>Retention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2025-07-12T12:53:54Z</dcterms:created>
  <dcterms:modified xsi:type="dcterms:W3CDTF">2025-07-21T18:08:46Z</dcterms:modified>
</cp:coreProperties>
</file>